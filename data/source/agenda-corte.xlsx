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2948baa34e5d22/Escritorio/"/>
    </mc:Choice>
  </mc:AlternateContent>
  <xr:revisionPtr revIDLastSave="0" documentId="8_{1CCE4A13-24DB-4D5A-8F9E-80BC88F1E3C3}" xr6:coauthVersionLast="47" xr6:coauthVersionMax="47" xr10:uidLastSave="{00000000-0000-0000-0000-000000000000}"/>
  <bookViews>
    <workbookView xWindow="-103" yWindow="-103" windowWidth="24892" windowHeight="14914" activeTab="3" xr2:uid="{50763645-BA24-48A8-BC15-822A1B9B17DF}"/>
  </bookViews>
  <sheets>
    <sheet name="Anexos" sheetId="1" r:id="rId1"/>
    <sheet name="Dotación" sheetId="2" r:id="rId2"/>
    <sheet name="Jurisdicción" sheetId="3" r:id="rId3"/>
    <sheet name="correos tribunal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674" i="3" l="1"/>
  <c r="Q673" i="3"/>
  <c r="Q672" i="3"/>
  <c r="Q671" i="3"/>
  <c r="Q670" i="3"/>
  <c r="Q669" i="3"/>
  <c r="Q668" i="3"/>
  <c r="Q667" i="3"/>
  <c r="Q666" i="3"/>
  <c r="Q665" i="3"/>
  <c r="Q664" i="3"/>
  <c r="Q663" i="3"/>
  <c r="Q662" i="3"/>
  <c r="Q661" i="3"/>
  <c r="Q660" i="3"/>
  <c r="Q659" i="3"/>
  <c r="Q658" i="3"/>
  <c r="Q657" i="3"/>
  <c r="Q656" i="3"/>
  <c r="Q655" i="3"/>
  <c r="Q654" i="3"/>
  <c r="Q653" i="3"/>
  <c r="Q652" i="3"/>
  <c r="Q651" i="3"/>
  <c r="Q650" i="3"/>
  <c r="Q649" i="3"/>
  <c r="Q648" i="3"/>
  <c r="Q647" i="3"/>
  <c r="A647" i="3"/>
  <c r="Q646" i="3"/>
  <c r="Q645" i="3"/>
  <c r="Q644" i="3"/>
  <c r="A644" i="3"/>
  <c r="A645" i="3" s="1"/>
  <c r="A646" i="3" s="1"/>
  <c r="Q643" i="3"/>
  <c r="A643" i="3"/>
  <c r="Q642" i="3"/>
  <c r="Q641" i="3"/>
  <c r="A641" i="3"/>
  <c r="A642" i="3" s="1"/>
  <c r="Q640" i="3"/>
  <c r="Q639" i="3"/>
  <c r="Q638" i="3"/>
  <c r="Q637" i="3"/>
  <c r="Q636" i="3"/>
  <c r="A636" i="3"/>
  <c r="A637" i="3" s="1"/>
  <c r="A638" i="3" s="1"/>
  <c r="A639" i="3" s="1"/>
  <c r="A640" i="3" s="1"/>
  <c r="Q635" i="3"/>
  <c r="Q634" i="3"/>
  <c r="Q633" i="3"/>
  <c r="Q632" i="3"/>
  <c r="Q631" i="3"/>
  <c r="A631" i="3"/>
  <c r="A632" i="3" s="1"/>
  <c r="A633" i="3" s="1"/>
  <c r="A634" i="3" s="1"/>
  <c r="A635" i="3" s="1"/>
  <c r="Q630" i="3"/>
  <c r="Q629" i="3"/>
  <c r="A629" i="3"/>
  <c r="A630" i="3" s="1"/>
  <c r="Q628" i="3"/>
  <c r="Q627" i="3"/>
  <c r="Q626" i="3"/>
  <c r="Q625" i="3"/>
  <c r="Q624" i="3"/>
  <c r="Q623" i="3"/>
  <c r="Q622" i="3"/>
  <c r="Q621" i="3"/>
  <c r="Q620" i="3"/>
  <c r="Q619" i="3"/>
  <c r="Q618" i="3"/>
  <c r="Q617" i="3"/>
  <c r="Q616" i="3"/>
  <c r="Q615" i="3"/>
  <c r="Q604" i="3"/>
  <c r="Q595" i="3"/>
  <c r="A590" i="3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Q584" i="3"/>
  <c r="Q581" i="3"/>
  <c r="Q565" i="3"/>
  <c r="Q564" i="3"/>
  <c r="Q562" i="3"/>
  <c r="Q557" i="3"/>
  <c r="A557" i="3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Q556" i="3"/>
  <c r="Q555" i="3"/>
  <c r="Q554" i="3"/>
  <c r="Q553" i="3"/>
  <c r="Q552" i="3"/>
  <c r="Q551" i="3"/>
  <c r="Q550" i="3"/>
  <c r="Q549" i="3"/>
  <c r="Q548" i="3"/>
  <c r="Q547" i="3"/>
  <c r="Q546" i="3"/>
  <c r="Q545" i="3"/>
  <c r="Q544" i="3"/>
  <c r="Q543" i="3"/>
  <c r="Q542" i="3"/>
  <c r="Q541" i="3"/>
  <c r="Q540" i="3"/>
  <c r="Q539" i="3"/>
  <c r="Q538" i="3"/>
  <c r="Q537" i="3"/>
  <c r="Q536" i="3"/>
  <c r="Q535" i="3"/>
  <c r="Q534" i="3"/>
  <c r="Q533" i="3"/>
  <c r="Q532" i="3"/>
  <c r="Q531" i="3"/>
  <c r="Q530" i="3"/>
  <c r="Q529" i="3"/>
  <c r="Q528" i="3"/>
  <c r="Q527" i="3"/>
  <c r="Q526" i="3"/>
  <c r="Q525" i="3"/>
  <c r="Q524" i="3"/>
  <c r="Q523" i="3"/>
  <c r="Q522" i="3"/>
  <c r="Q521" i="3"/>
  <c r="Q520" i="3"/>
  <c r="Q519" i="3"/>
  <c r="Q518" i="3"/>
  <c r="Q517" i="3"/>
  <c r="Q516" i="3"/>
  <c r="Q515" i="3"/>
  <c r="Q514" i="3"/>
  <c r="Q513" i="3"/>
  <c r="Q512" i="3"/>
  <c r="Q511" i="3"/>
  <c r="Q510" i="3"/>
  <c r="Q509" i="3"/>
  <c r="Q508" i="3"/>
  <c r="Q507" i="3"/>
  <c r="Q506" i="3"/>
  <c r="Q505" i="3"/>
  <c r="Q504" i="3"/>
  <c r="Q503" i="3"/>
  <c r="Q502" i="3"/>
  <c r="Q501" i="3"/>
  <c r="Q500" i="3"/>
  <c r="Q499" i="3"/>
  <c r="Q498" i="3"/>
  <c r="Q497" i="3"/>
  <c r="Q496" i="3"/>
  <c r="Q495" i="3"/>
  <c r="Q494" i="3"/>
  <c r="Q493" i="3"/>
  <c r="Q492" i="3"/>
  <c r="Q491" i="3"/>
  <c r="Q490" i="3"/>
  <c r="Q489" i="3"/>
  <c r="Q488" i="3"/>
  <c r="Q487" i="3"/>
  <c r="Q486" i="3"/>
  <c r="Q485" i="3"/>
  <c r="Q484" i="3"/>
  <c r="Q483" i="3"/>
  <c r="Q482" i="3"/>
  <c r="Q479" i="3"/>
  <c r="Q478" i="3"/>
  <c r="Q477" i="3"/>
  <c r="Q476" i="3"/>
  <c r="Q475" i="3"/>
  <c r="Q474" i="3"/>
  <c r="Q473" i="3"/>
  <c r="Q471" i="3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Patricio Quintanilla Gallardo</author>
    <author>Antonella Rojas Arqueros</author>
    <author>Antonella Valeska Arqueros Rojas</author>
    <author>PATRICIO FREDDY QUINTANILLA GALLARDO</author>
    <author>cfmeneses</author>
    <author>CARLOS FRANCISCO MENESES ROJAS</author>
    <author>Patricio Freddy Quintanilla Gallardo</author>
  </authors>
  <commentList>
    <comment ref="I6" authorId="0" shapeId="0" xr:uid="{61B748D9-A091-454D-9176-2A975E030367}">
      <text>
        <r>
          <rPr>
            <b/>
            <sz val="9"/>
            <color indexed="81"/>
            <rFont val="Tahoma"/>
            <family val="2"/>
          </rPr>
          <t>CRISTOBAL GALVEZ POBLETE
A OFICIAL TERCERO
PRIMER JUZGADO DE LETRAS DE OVALLE
AC 22-08-2023</t>
        </r>
      </text>
    </comment>
    <comment ref="I12" authorId="0" shapeId="0" xr:uid="{5FCABC80-0788-4150-88B4-C1EA2EF5BD75}">
      <text>
        <r>
          <rPr>
            <b/>
            <sz val="9"/>
            <color indexed="81"/>
            <rFont val="Tahoma"/>
            <family val="2"/>
          </rPr>
          <t>PAZ ARANCIBIA FLORES
A ADMINISTRATIVO 1°
JUZGADO DE LETRAS DE VICUÑA
AC 23-10-2023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8" authorId="1" shapeId="0" xr:uid="{3E91A16F-055F-483B-8216-AB49C2B558B9}">
      <text>
        <r>
          <rPr>
            <b/>
            <sz val="9"/>
            <color indexed="81"/>
            <rFont val="Tahoma"/>
            <family val="2"/>
          </rPr>
          <t>Antonella Rojas Arqueros:
CESAR ROJAS SARRIA RENUNCIA VOLUNTARIA INCENTIVO AL RETIRO LEY 21,061 AC 31-07-2024</t>
        </r>
      </text>
    </comment>
    <comment ref="I28" authorId="0" shapeId="0" xr:uid="{16AC908D-7C47-4707-8693-647358B29D39}">
      <text>
        <r>
          <rPr>
            <b/>
            <sz val="9"/>
            <color indexed="81"/>
            <rFont val="Tahoma"/>
            <family val="2"/>
          </rPr>
          <t>KATTY DIAZ ALIAGA
INCENTIVO AL RETIRO AC 01/07/2021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0" authorId="0" shapeId="0" xr:uid="{DC7A4CE7-F5BB-49C6-9749-B32B86DF2FD9}">
      <text>
        <r>
          <rPr>
            <b/>
            <sz val="9"/>
            <color indexed="81"/>
            <rFont val="Tahoma"/>
            <family val="2"/>
          </rPr>
          <t>ALICIA GODOY BENAVIDES
RENUNCIA VOLUNTARIA
AC 18-01-2024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3" authorId="0" shapeId="0" xr:uid="{C5285CC5-0F2C-457B-A8AC-66B05E9FC8B6}">
      <text>
        <r>
          <rPr>
            <b/>
            <sz val="9"/>
            <color indexed="81"/>
            <rFont val="Tahoma"/>
            <family val="2"/>
          </rPr>
          <t>ALEJANDRA CASTILLO BARRAZA  A ADMINISTRATIVO 1° DEL JUZGADO DE GARANTIA DE OVALLE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5" authorId="0" shapeId="0" xr:uid="{5825DB86-78FE-40EF-AF50-1976262ED2EF}">
      <text>
        <r>
          <rPr>
            <b/>
            <sz val="9"/>
            <color indexed="81"/>
            <rFont val="Tahoma"/>
            <family val="2"/>
          </rPr>
          <t>PAULINA MILLA CARRASCO
A OFICIAL TERCERO
SEGUNDO JUZGADO DE LETRAS DE LA SERENA
AC 16-08-2023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6" authorId="0" shapeId="0" xr:uid="{46047EF7-BCB9-4E53-AF5B-1168DDAA9698}">
      <text>
        <r>
          <rPr>
            <b/>
            <sz val="9"/>
            <color indexed="81"/>
            <rFont val="Tahoma"/>
            <family val="2"/>
          </rPr>
          <t>PAMELA PIZARRO BUGUEÑO
INCENTIVO AL RETIRO
AC 01-07-2023</t>
        </r>
      </text>
    </comment>
    <comment ref="I37" authorId="0" shapeId="0" xr:uid="{976B564E-F1C8-4D24-9574-108CE9B2AEBE}">
      <text>
        <r>
          <rPr>
            <b/>
            <sz val="9"/>
            <color indexed="81"/>
            <rFont val="Tahoma"/>
            <family val="2"/>
          </rPr>
          <t>JORGE COLVIN TRUCCO 
CUMPLE EDAD 75 AÑOS 
CESA FUNCIONES AC 06/05/2021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43" authorId="0" shapeId="0" xr:uid="{1DD89A0B-19F2-46B9-B655-108BB4CEBE8D}">
      <text>
        <r>
          <rPr>
            <b/>
            <sz val="9"/>
            <color indexed="81"/>
            <rFont val="Tahoma"/>
            <family val="2"/>
          </rPr>
          <t>HANS FONFACH OLIVARES A AYUDANTE DE AUDIENCIAS TOP OVALLE</t>
        </r>
      </text>
    </comment>
    <comment ref="I58" authorId="0" shapeId="0" xr:uid="{31BDB503-24A1-490D-B449-9D4A0E4DC2CC}">
      <text>
        <r>
          <rPr>
            <b/>
            <sz val="9"/>
            <color indexed="81"/>
            <rFont val="Tahoma"/>
            <family val="2"/>
          </rPr>
          <t xml:space="preserve">JOVITA MANRIQUEZ AGUILAR INCENTIVO AL RETIRO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59" authorId="0" shapeId="0" xr:uid="{B7903094-DF84-4593-982A-9E42ED49D70D}">
      <text>
        <r>
          <rPr>
            <b/>
            <sz val="9"/>
            <color indexed="81"/>
            <rFont val="Tahoma"/>
            <family val="2"/>
          </rPr>
          <t>CONSUELO ROBLES TWYMAN A OFICIAL SEGUNDO DEL SEGUNDO JUZGADO DE LETRAS DE COQUIMBO 
AC 28-09-2021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62" authorId="0" shapeId="0" xr:uid="{6712E23D-969C-4C57-B345-54CF8DB8ACFB}">
      <text>
        <r>
          <rPr>
            <b/>
            <sz val="9"/>
            <color indexed="81"/>
            <rFont val="Tahoma"/>
            <family val="2"/>
          </rPr>
          <t>ANA NARANJO BISCHOF 
A JUEZA DEL JUZGADO DE FAMILIA DE LA SERENA
AC 14-11-2022</t>
        </r>
      </text>
    </comment>
    <comment ref="I63" authorId="2" shapeId="0" xr:uid="{5AD0A567-0305-4588-86A2-0F549E2ABD38}">
      <text>
        <r>
          <rPr>
            <b/>
            <sz val="9"/>
            <color indexed="81"/>
            <rFont val="Tahoma"/>
            <family val="2"/>
          </rPr>
          <t>Antonella Valeska Arqueros Rojas: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PAULO MANQUE TOLEDO A ENCARGADO DE SALA JUZGADO GARANTIA LA SERENA AC 28-05-2025</t>
        </r>
      </text>
    </comment>
    <comment ref="I64" authorId="0" shapeId="0" xr:uid="{B4A3E4AA-E614-49DB-8F14-7EF5721B9B44}">
      <text>
        <r>
          <rPr>
            <b/>
            <sz val="9"/>
            <color indexed="81"/>
            <rFont val="Tahoma"/>
            <family val="2"/>
          </rPr>
          <t>JACQUELINE ABALOS DIAZ
INCENTIVO AL RETIRO
AC 01-07-2023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65" authorId="3" shapeId="0" xr:uid="{EDD0BB13-96C5-4003-9DF3-4E4F4DCF31AE}">
      <text>
        <r>
          <rPr>
            <b/>
            <sz val="9"/>
            <color indexed="8"/>
            <rFont val="Aptos Narrow"/>
            <family val="2"/>
            <scheme val="minor"/>
          </rPr>
          <t>NO PRORROGA
DE ERIC ALCAYAGA 
CESE 31-12-2022
RENUNCIA DE CYNTHIA TALAMILLA A CONTAR DEL 21/11/2018</t>
        </r>
        <r>
          <rPr>
            <sz val="9"/>
            <color indexed="8"/>
            <rFont val="Aptos Narrow"/>
            <family val="2"/>
            <scheme val="minor"/>
          </rPr>
          <t xml:space="preserve">
</t>
        </r>
      </text>
    </comment>
    <comment ref="I66" authorId="1" shapeId="0" xr:uid="{18C67A3B-B992-4DF0-AEAB-F89E60F80627}">
      <text>
        <r>
          <rPr>
            <b/>
            <sz val="9"/>
            <color indexed="81"/>
            <rFont val="Tahoma"/>
            <family val="2"/>
          </rPr>
          <t>Antonella Rojas Arqueros: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CAROLINA TORO RIVERA A ADMINISTRATIVO CONTRATA DEL CENTRO DE SEGUIMIENTO DE MEDIDAS DE PROTECCIÓN AC 05-09-2024</t>
        </r>
      </text>
    </comment>
    <comment ref="I68" authorId="1" shapeId="0" xr:uid="{9EFE2866-DD44-47A1-A424-AE6776D856C8}">
      <text>
        <r>
          <rPr>
            <b/>
            <sz val="9"/>
            <color indexed="81"/>
            <rFont val="Tahoma"/>
            <family val="2"/>
          </rPr>
          <t>Antonella Rojas Arqueros: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IVO YURIN ARAYA A OFICIAL SEGUNDO EN EL 3° JUZGADO DE LETRAS DE OVALLE</t>
        </r>
      </text>
    </comment>
    <comment ref="I71" authorId="1" shapeId="0" xr:uid="{3A0F7462-50D9-4F7D-AAAA-ECE550225F03}">
      <text>
        <r>
          <rPr>
            <b/>
            <sz val="9"/>
            <color indexed="81"/>
            <rFont val="Tahoma"/>
            <family val="2"/>
          </rPr>
          <t>Antonella Rojas Arqueros:
BENEDICTO CUELLO AGUILERA RENUNCIA VOLUNTARIA INCENTIVO AL RETIRO LEY 21,061 AC 31-07-2024
DE OFICIAL SEGUNDO A ADMINISTRATIVO 1° POR ADECUACIÓN LEY 21,017</t>
        </r>
      </text>
    </comment>
    <comment ref="I75" authorId="0" shapeId="0" xr:uid="{775AAD9D-EF55-46FC-816B-DBF63068DCCD}">
      <text>
        <r>
          <rPr>
            <b/>
            <sz val="9"/>
            <color indexed="81"/>
            <rFont val="Tahoma"/>
            <family val="2"/>
          </rPr>
          <t>PAOLA GUEVARA IBAÑEZ
RENUNCIA VOLUNTARIA
AC 31-08-2023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83" authorId="2" shapeId="0" xr:uid="{B3CDCC8D-ADDF-45AE-8146-ABFE4D06CEBD}">
      <text>
        <r>
          <rPr>
            <b/>
            <sz val="9"/>
            <color indexed="81"/>
            <rFont val="Tahoma"/>
            <family val="2"/>
          </rPr>
          <t>Antonella Valeska Arqueros Rojas: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JUAN CARLOS ESPINOSA ROJAS A MINISTRO  DE ICA LA SERENA AC 07-02-2025</t>
        </r>
      </text>
    </comment>
    <comment ref="I86" authorId="1" shapeId="0" xr:uid="{A9FD3800-6BA7-4A3A-B3F7-984A681CF89A}">
      <text>
        <r>
          <rPr>
            <b/>
            <sz val="9"/>
            <color indexed="81"/>
            <rFont val="Tahoma"/>
            <family val="2"/>
          </rPr>
          <t>Antonella Rojas Arqueros: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MARÍA ELGUETA ALARCÓN A ADMINISTRATIVO 3° CONTRATA ANUAL ACTA 19 AC 17-06-24</t>
        </r>
      </text>
    </comment>
    <comment ref="I87" authorId="0" shapeId="0" xr:uid="{554EA9C9-1C42-4FB3-9A6D-C6AA63175080}">
      <text>
        <r>
          <rPr>
            <b/>
            <sz val="9"/>
            <color indexed="81"/>
            <rFont val="Tahoma"/>
            <family val="2"/>
          </rPr>
          <t>FELIPE PIZARRO PIZARRO
RENUNCIA
AC 01-11-2023</t>
        </r>
      </text>
    </comment>
    <comment ref="I89" authorId="1" shapeId="0" xr:uid="{68AD8FDB-F954-462D-80A9-650DBF1EE26F}">
      <text>
        <r>
          <rPr>
            <b/>
            <sz val="9"/>
            <color indexed="81"/>
            <rFont val="Tahoma"/>
            <family val="2"/>
          </rPr>
          <t>Antonella Rojas Arqueros: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SOLEDAD SEPULVEDA FONCK A
 SECRETARIA DEL JUZGADO DE LETRAS Y GARANTIA DE ANDACOLLO
AC 06-12-2024</t>
        </r>
      </text>
    </comment>
    <comment ref="I97" authorId="0" shapeId="0" xr:uid="{568C1C36-EE80-4FF2-BA8E-81D42DE7C560}">
      <text>
        <r>
          <rPr>
            <b/>
            <sz val="9"/>
            <color indexed="81"/>
            <rFont val="Tahoma"/>
            <family val="2"/>
          </rPr>
          <t>PATRICIA BORQUEZ RIVERA
A ADMINISTRATIVO 1°
JUZGADO DE FAMILIA DE LA SERENA
AC 22-09-2023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98" authorId="0" shapeId="0" xr:uid="{ED442842-D7B9-4333-B449-4F6DB15C652B}">
      <text>
        <r>
          <rPr>
            <b/>
            <sz val="9"/>
            <color indexed="81"/>
            <rFont val="Tahoma"/>
            <family val="2"/>
          </rPr>
          <t xml:space="preserve">GABRIELA HERNANDEZ TRONCOSO
A OFICIAL DE SALA
TERCER JUZGADO DE LETRAS DE COQUIMBO
AC 08-11-2023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00" authorId="2" shapeId="0" xr:uid="{F433D8BD-6EA5-4307-A480-D6468A7EE79B}">
      <text>
        <r>
          <rPr>
            <b/>
            <sz val="9"/>
            <color indexed="81"/>
            <rFont val="Tahoma"/>
            <family val="2"/>
          </rPr>
          <t>Antonella Valeska Arqueros Rojas: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JAVIER CANCINO LAGOS A JUEZ TOP LA SERENA
 AC 26-08-2025</t>
        </r>
      </text>
    </comment>
    <comment ref="I114" authorId="1" shapeId="0" xr:uid="{C131CC0B-9890-4282-8CE0-2DDE3B7FE28E}">
      <text>
        <r>
          <rPr>
            <b/>
            <sz val="9"/>
            <color indexed="81"/>
            <rFont val="Tahoma"/>
            <family val="2"/>
          </rPr>
          <t>Antonella Rojas Arqueros:
MARIA JOSE SARMIENTO VEAS ASUME OFICIAL CUARTO TITULAR EN EL 3°JL LA SERENA AC 21-08-2024</t>
        </r>
      </text>
    </comment>
    <comment ref="I118" authorId="0" shapeId="0" xr:uid="{418DB70B-039E-4DFC-8F6E-FB8D8D525998}">
      <text>
        <r>
          <rPr>
            <b/>
            <sz val="9"/>
            <color indexed="81"/>
            <rFont val="Tahoma"/>
            <family val="2"/>
          </rPr>
          <t>VICTOR ENCINA FABRES
NO RENOVACION CONTRATA
AC 01-01-2024
INGNACIO CANALES BARRAZA
RENUNCIA VOLUNTARIA
AC 02-10-2025</t>
        </r>
      </text>
    </comment>
    <comment ref="I123" authorId="0" shapeId="0" xr:uid="{AA4DDB1D-4186-4C19-B42A-F60B5AE2EE86}">
      <text>
        <r>
          <rPr>
            <b/>
            <sz val="9"/>
            <color indexed="81"/>
            <rFont val="Tahoma"/>
            <family val="2"/>
          </rPr>
          <t xml:space="preserve">LUIS MORALES TRUJILLO
A ENCARGADO DE SALA
TOP LA SERENA
AC 28-09-2023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28" authorId="1" shapeId="0" xr:uid="{986B5EBA-35A0-48E1-BB98-8DBEE4E4059F}">
      <text>
        <r>
          <rPr>
            <b/>
            <sz val="9"/>
            <color indexed="81"/>
            <rFont val="Tahoma"/>
            <family val="2"/>
          </rPr>
          <t>Antonella Rojas Arqueros: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RENUNCIA VOLUNTARIA PAULINA VALLE JIMENEZ AC 22-07-2024</t>
        </r>
      </text>
    </comment>
    <comment ref="I135" authorId="0" shapeId="0" xr:uid="{3C9825F5-4DBD-4CE3-8437-1296E1786794}">
      <text>
        <r>
          <rPr>
            <b/>
            <sz val="9"/>
            <color indexed="81"/>
            <rFont val="Tahoma"/>
            <family val="2"/>
          </rPr>
          <t>PAOLA CARVAJAL VALENZUELA
A ADMINISTRATIVO 2°
JF OVALLE
AC 29-09-2022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40" authorId="0" shapeId="0" xr:uid="{6BEC3648-87D1-4727-8703-A4F005F15B1D}">
      <text>
        <r>
          <rPr>
            <b/>
            <sz val="9"/>
            <color indexed="81"/>
            <rFont val="Tahoma"/>
            <family val="2"/>
          </rPr>
          <t>EDUARDO SILVA JEREZ A RELATOR
ICA LA SERENA
AC 23-06-2023
ALEJANDRA DIAZ SERRA RENUNCIA VOLUNTARIA AC 21-07-2025</t>
        </r>
      </text>
    </comment>
    <comment ref="I145" authorId="0" shapeId="0" xr:uid="{F329FCE8-B1A5-485C-91DA-BE3CCAAC769B}">
      <text>
        <r>
          <rPr>
            <b/>
            <sz val="9"/>
            <color indexed="81"/>
            <rFont val="Tahoma"/>
            <family val="2"/>
          </rPr>
          <t xml:space="preserve">ANTONIO MESA LERY 
A ADMINISTRATIVO JEFE DEL JUZGADO DE LETRAS DE ILLAPEL
AC 27-09-2021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0"/>
            <color indexed="81"/>
            <rFont val="Tahoma"/>
            <family val="2"/>
          </rPr>
          <t>NICOLE ALVARADO FIGUEROA A ADMTVO 1° JF QUILLOTA AC 30-08-2024</t>
        </r>
      </text>
    </comment>
    <comment ref="I146" authorId="0" shapeId="0" xr:uid="{529DF446-3C41-464A-A4F2-9AD9FC85BC30}">
      <text>
        <r>
          <rPr>
            <b/>
            <sz val="9"/>
            <color indexed="81"/>
            <rFont val="Tahoma"/>
            <family val="2"/>
          </rPr>
          <t>RAFAEL GONZALEZ OTAROLA 
A JUEZ
JUZGADO DE FAMILIA DE IQUIQUE
AC 23-09-2023</t>
        </r>
      </text>
    </comment>
    <comment ref="I147" authorId="0" shapeId="0" xr:uid="{31C1D896-C81D-44F2-8403-ADC9DE51F806}">
      <text>
        <r>
          <rPr>
            <b/>
            <sz val="9"/>
            <color indexed="81"/>
            <rFont val="Tahoma"/>
            <family val="2"/>
          </rPr>
          <t xml:space="preserve">LEYLAVELASQUEZ MOLINA
A JUEZ DEL JLYG CURANILAHUE
AC 19-05-2023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48" authorId="0" shapeId="0" xr:uid="{DAA3E6AF-4904-4504-91F9-D5358433A181}">
      <text>
        <r>
          <rPr>
            <b/>
            <sz val="9"/>
            <color indexed="8"/>
            <rFont val="Aptos Narrow"/>
            <family val="2"/>
            <scheme val="minor"/>
          </rPr>
          <t>RAUL RAMIREZ MORALES
RENUNCIA
AC 01-03-2023</t>
        </r>
        <r>
          <rPr>
            <sz val="9"/>
            <color indexed="8"/>
            <rFont val="Aptos Narrow"/>
            <family val="2"/>
            <scheme val="minor"/>
          </rPr>
          <t xml:space="preserve">
</t>
        </r>
        <r>
          <rPr>
            <b/>
            <sz val="9"/>
            <color indexed="8"/>
            <rFont val="Aptos Narrow"/>
            <family val="2"/>
            <scheme val="minor"/>
          </rPr>
          <t>PERMUTA POR FLAVIO BESOMI EN REX 1738 DE 14/06/24</t>
        </r>
      </text>
    </comment>
    <comment ref="I149" authorId="1" shapeId="0" xr:uid="{CBBACDE4-6CD7-43C6-895A-370B3E73460D}">
      <text>
        <r>
          <rPr>
            <b/>
            <sz val="9"/>
            <color indexed="81"/>
            <rFont val="Tahoma"/>
            <family val="2"/>
          </rPr>
          <t>Antonella Rojas Arqueros: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DON VICENTE HORMAZÁBAL ABARZÚA A MINISTRO DE ICA VALPARAÍSO AC 13/05/24</t>
        </r>
      </text>
    </comment>
    <comment ref="I153" authorId="1" shapeId="0" xr:uid="{0F0D44A4-5270-4CAC-9D12-8284B69C5EAC}">
      <text>
        <r>
          <rPr>
            <b/>
            <sz val="9"/>
            <color indexed="81"/>
            <rFont val="Tahoma"/>
            <family val="2"/>
          </rPr>
          <t>Antonella Rojas Arqueros:
JULIO PRADO VELIZ RENUNCIA VOLUNTARIA AC 01-11-2024</t>
        </r>
      </text>
    </comment>
    <comment ref="I154" authorId="1" shapeId="0" xr:uid="{94EABBEC-A4EC-4EF0-9B2A-D59E052BE213}">
      <text>
        <r>
          <rPr>
            <b/>
            <sz val="9"/>
            <color indexed="81"/>
            <rFont val="Tahoma"/>
            <family val="2"/>
          </rPr>
          <t>Antonella Rojas Arqueros:</t>
        </r>
        <r>
          <rPr>
            <sz val="9"/>
            <color indexed="81"/>
            <rFont val="Tahoma"/>
            <family val="2"/>
          </rPr>
          <t xml:space="preserve">
ALEJANDRO CRUZ CRUZ A AYUDANTE DE AUDIENCIA DEL 7° TOP SANTIAGO AC 20-05-24 POR REX 1928-2024</t>
        </r>
      </text>
    </comment>
    <comment ref="I158" authorId="4" shapeId="0" xr:uid="{1C17FE96-A830-41D1-ADCD-4FFB75578021}">
      <text>
        <r>
          <rPr>
            <b/>
            <sz val="10"/>
            <color indexed="8"/>
            <rFont val="Aptos Narrow"/>
            <family val="2"/>
            <scheme val="minor"/>
          </rPr>
          <t xml:space="preserve">NATALIA TAPIA ARAYA A OFICIAL PRIMERO DEL
PRIMER JUZGADO DE LETRAS DE LA SERENA
</t>
        </r>
        <r>
          <rPr>
            <sz val="10"/>
            <color indexed="8"/>
            <rFont val="Aptos Narrow"/>
            <family val="2"/>
            <scheme val="minor"/>
          </rPr>
          <t xml:space="preserve">
</t>
        </r>
        <r>
          <rPr>
            <b/>
            <sz val="10"/>
            <color indexed="8"/>
            <rFont val="Aptos Narrow"/>
            <family val="2"/>
            <scheme val="minor"/>
          </rPr>
          <t>ALEXIS ARAYA ARAYA A 
RECEPTOR 1°JL COQUIMBO
AC 02-01-2026</t>
        </r>
      </text>
    </comment>
    <comment ref="I159" authorId="1" shapeId="0" xr:uid="{7448529E-4DFD-4EF3-BF5C-3AE0B30D0607}">
      <text>
        <r>
          <rPr>
            <b/>
            <sz val="10"/>
            <color indexed="81"/>
            <rFont val="Tahoma"/>
            <family val="2"/>
          </rPr>
          <t>Antonella Rojas Arqueros:
NURY BENAVIDES RETAMAL RENUNCIA VOLUNTARIA INCENTIVO AL RETIRO 21,061 AC 26-01-2025</t>
        </r>
      </text>
    </comment>
    <comment ref="I165" authorId="0" shapeId="0" xr:uid="{3FF32851-3A2F-4301-AF10-53F06D8F96E8}">
      <text>
        <r>
          <rPr>
            <b/>
            <sz val="9"/>
            <color indexed="81"/>
            <rFont val="Tahoma"/>
            <family val="2"/>
          </rPr>
          <t>RODRIGO ABARCA CAMPOS
A ADMINISTRADOR 
JUZGADO DE LETRAS DE COLINA
AC 22-02-2024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70" authorId="0" shapeId="0" xr:uid="{A9AF7C9E-A649-4133-A65F-E5D8531DEDFD}">
      <text>
        <r>
          <rPr>
            <b/>
            <sz val="9"/>
            <color indexed="81"/>
            <rFont val="Tahoma"/>
            <family val="2"/>
          </rPr>
          <t>VERONICA BUGUEÑO BUGUEÑO
INCENTIVO AL RETIRO
AC 01-07-2023</t>
        </r>
      </text>
    </comment>
    <comment ref="I174" authorId="0" shapeId="0" xr:uid="{3D53CA0A-52FC-47BD-BB7E-02036521C2AA}">
      <text>
        <r>
          <rPr>
            <b/>
            <sz val="9"/>
            <color indexed="81"/>
            <rFont val="Tahoma"/>
            <family val="2"/>
          </rPr>
          <t>JUAN CARLOS CORTES PASTEN
A ADMINISTRATIVO 2° 
TOP LA SERENA
AC 20-12-2023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79" authorId="0" shapeId="0" xr:uid="{37BA615D-8E2E-47E6-B4D1-53330A80508D}">
      <text>
        <r>
          <rPr>
            <b/>
            <sz val="9"/>
            <color indexed="81"/>
            <rFont val="Tahoma"/>
            <family val="2"/>
          </rPr>
          <t>PATRICIO SILVA BUZETA
INCENTIVO AL RETIRO
AC 31-01-2023</t>
        </r>
      </text>
    </comment>
    <comment ref="I183" authorId="2" shapeId="0" xr:uid="{E5A9A507-9D36-4DC1-B4B3-C8860FC083EA}">
      <text>
        <r>
          <rPr>
            <b/>
            <sz val="9"/>
            <color indexed="81"/>
            <rFont val="Tahoma"/>
            <family val="2"/>
          </rPr>
          <t>Antonella Valeska Arqueros Rojas: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ZAIDA PORRAS CARMONA A CONSEJERO TECNICO TITULAR JL ILLAPEL AC 05-09-2025</t>
        </r>
      </text>
    </comment>
    <comment ref="I185" authorId="2" shapeId="0" xr:uid="{44245E3D-431A-48AD-BDD2-940661F62F3C}">
      <text>
        <r>
          <rPr>
            <b/>
            <sz val="9"/>
            <color indexed="81"/>
            <rFont val="Tahoma"/>
            <family val="2"/>
          </rPr>
          <t>Antonella Valeska Arqueros Rojas: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PAMELA SUAREZ MALEBRAN PERMUTA REX 3057
A OFICIAL 3° 2° JL COQUIMBO
AC 03-10-2025</t>
        </r>
      </text>
    </comment>
    <comment ref="I189" authorId="2" shapeId="0" xr:uid="{7376F58F-18B7-4F9A-86BD-A0C39923B383}">
      <text>
        <r>
          <rPr>
            <b/>
            <sz val="9"/>
            <color indexed="81"/>
            <rFont val="Tahoma"/>
            <family val="2"/>
          </rPr>
          <t>Antonella Valeska Arqueros Rojas: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DECLARA VACANTE POR FALLECIMIENTO SRA. ELMA DUBO ITE AC 07-11-2025</t>
        </r>
      </text>
    </comment>
    <comment ref="I191" authorId="0" shapeId="0" xr:uid="{B9486493-A979-4C7D-98A3-BE25CB4E93CA}">
      <text>
        <r>
          <rPr>
            <b/>
            <sz val="9"/>
            <color indexed="81"/>
            <rFont val="Tahoma"/>
            <family val="2"/>
          </rPr>
          <t>MARCELA LOPEZ DEVIA
A OFICIAL CUARTO
TERCER JUZGADO DE LETRAS DE COQUIMBO
AC 13-07-2023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08" authorId="2" shapeId="0" xr:uid="{0A4BAFB0-4201-4A78-B51B-6839ADE1DF28}">
      <text>
        <r>
          <rPr>
            <b/>
            <sz val="9"/>
            <color indexed="81"/>
            <rFont val="Tahoma"/>
            <family val="2"/>
          </rPr>
          <t xml:space="preserve">
CARLOS JORQUERA PEÑALOZA
CESE DE FUNCIONES POR CUMPLIMIENTO EDAD
AC 08-11-2026</t>
        </r>
      </text>
    </comment>
    <comment ref="I211" authorId="2" shapeId="0" xr:uid="{B5DED249-4CDA-4E3D-8535-5EB2D6265A31}">
      <text>
        <r>
          <rPr>
            <b/>
            <sz val="9"/>
            <color indexed="81"/>
            <rFont val="Tahoma"/>
            <family val="2"/>
          </rPr>
          <t>Antonella Valeska Arqueros Rojas: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VIVIANA CARVAJAL CARVAJAL
A OFICIAL 1° DE ICA LA SERENA
AC 01-01-2025</t>
        </r>
      </text>
    </comment>
    <comment ref="I212" authorId="0" shapeId="0" xr:uid="{C7CB3B4E-8B84-4D97-A8F0-C1896AFA1C2C}">
      <text>
        <r>
          <rPr>
            <b/>
            <sz val="9"/>
            <color indexed="81"/>
            <rFont val="Tahoma"/>
            <family val="2"/>
          </rPr>
          <t>MARITZA ARAYA MANZANO
INCENTIVO AL RETIRO
AC 29-06-2023</t>
        </r>
      </text>
    </comment>
    <comment ref="I216" authorId="0" shapeId="0" xr:uid="{671D132D-B1EF-4792-A435-0B36166A89B0}">
      <text>
        <r>
          <rPr>
            <b/>
            <sz val="9"/>
            <color indexed="81"/>
            <rFont val="Tahoma"/>
            <family val="2"/>
          </rPr>
          <t xml:space="preserve">JOSE BUGUEÑO CONTRERAS
NO RENOVACION CONTRATA
AC 01-01-2024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20" authorId="1" shapeId="0" xr:uid="{F512C3E9-3490-4B87-A2F0-7FE6FD1EE5C6}">
      <text>
        <r>
          <rPr>
            <b/>
            <sz val="10"/>
            <color indexed="81"/>
            <rFont val="Tahoma"/>
            <family val="2"/>
          </rPr>
          <t>Antonella Rojas Arqueros: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b/>
            <sz val="10"/>
            <color indexed="81"/>
            <rFont val="Tahoma"/>
            <family val="2"/>
          </rPr>
          <t>RENUNCIA VOLUNTARIA DIEGO RODRÍGUEZ VALDÉS AC 08-07-2024 POR REX 480-2024</t>
        </r>
      </text>
    </comment>
    <comment ref="I225" authorId="0" shapeId="0" xr:uid="{3627A1F5-9AC3-407C-A0B2-9686011ACA2B}">
      <text>
        <r>
          <rPr>
            <b/>
            <sz val="9"/>
            <color indexed="81"/>
            <rFont val="Tahoma"/>
            <family val="2"/>
          </rPr>
          <t>JUAN LAGOS LOPEZ
A OFICIAL SEGUNDO
3° JUZGADO DE LETRAS DE COQUIMBO
AC 03-04-2023</t>
        </r>
      </text>
    </comment>
    <comment ref="I231" authorId="0" shapeId="0" xr:uid="{3B121446-E263-4724-9B38-FA61E1811CB5}">
      <text>
        <r>
          <rPr>
            <b/>
            <sz val="9"/>
            <color indexed="81"/>
            <rFont val="Tahoma"/>
            <family val="2"/>
          </rPr>
          <t xml:space="preserve">ANDRES ELGUETA MUÑOZ
A JUEZ
JUZGADO DE FAMILIA DE OVALLE
AC 08-03-2024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33" authorId="0" shapeId="0" xr:uid="{8AB20F20-03BB-41FA-AFB7-39AA1E3C0AA4}">
      <text>
        <r>
          <rPr>
            <b/>
            <sz val="9"/>
            <color indexed="81"/>
            <rFont val="Tahoma"/>
            <family val="2"/>
          </rPr>
          <t>JORGE CORRALES SINSAY
CESE FUNCIONES 75 AÑOS
AC 24-08-2023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34" authorId="1" shapeId="0" xr:uid="{D0DCC308-1BB8-42B0-9211-944EC2A9C0DB}">
      <text>
        <r>
          <rPr>
            <b/>
            <sz val="10"/>
            <color indexed="81"/>
            <rFont val="Tahoma"/>
            <family val="2"/>
          </rPr>
          <t>Antonella Rojas Arqueros:
JACQUELINE ARACENA ROJAS RENUNCIA VOLUNTARIA INCENTIVO AL RETIRO 21.061  AC 26-01-2025</t>
        </r>
      </text>
    </comment>
    <comment ref="I236" authorId="1" shapeId="0" xr:uid="{92E59075-BF84-4F25-8730-FCA3BF6BCCCE}">
      <text>
        <r>
          <rPr>
            <b/>
            <sz val="9"/>
            <color indexed="81"/>
            <rFont val="Tahoma"/>
            <family val="2"/>
          </rPr>
          <t>Antonella Rojas Arqueros:</t>
        </r>
        <r>
          <rPr>
            <sz val="9"/>
            <color indexed="81"/>
            <rFont val="Tahoma"/>
            <family val="2"/>
          </rPr>
          <t xml:space="preserve">
RICARDO ÁLVAREZ MORALEDA A ENCARGADO DE SALA TOP LA SERENA AC 17-04-2024</t>
        </r>
      </text>
    </comment>
    <comment ref="I237" authorId="0" shapeId="0" xr:uid="{DE0D4002-3CB1-42FF-98E6-72E87AE33E27}">
      <text>
        <r>
          <rPr>
            <b/>
            <sz val="9"/>
            <color indexed="81"/>
            <rFont val="Tahoma"/>
            <family val="2"/>
          </rPr>
          <t>CATALINA CASTILLO CARDENAS
A ADMINISTRATIVO 2°
JF LA SERENA
AC 20-12-2023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40" authorId="0" shapeId="0" xr:uid="{F5D20123-5423-41EC-806F-7B0F200D94F4}">
      <text>
        <r>
          <rPr>
            <b/>
            <sz val="9"/>
            <color indexed="81"/>
            <rFont val="Tahoma"/>
            <family val="2"/>
          </rPr>
          <t>CRISTOBAL GELDUN MANSILLA
A JUEZ 
JUZGADO DE LETRAS DE PEUMO
AC 27/07/2023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CONSTANZA SEPULVEDA GRUSIC  A JUEZ 
JUZGADO LETRAS Y GARANTIA PUCON
AC 06-10-2025</t>
        </r>
      </text>
    </comment>
    <comment ref="I241" authorId="0" shapeId="0" xr:uid="{501082B5-D20A-4E25-B396-402384F31226}">
      <text>
        <r>
          <rPr>
            <b/>
            <sz val="9"/>
            <color indexed="81"/>
            <rFont val="Tahoma"/>
            <family val="2"/>
          </rPr>
          <t>NORA OGALDE ROJAS
INCENTIVO AL RETIRO
AC 01-07-2023</t>
        </r>
      </text>
    </comment>
    <comment ref="I246" authorId="0" shapeId="0" xr:uid="{9F9B1CCE-82AD-46CC-A9EF-ADE7DA53D7BC}">
      <text>
        <r>
          <rPr>
            <b/>
            <sz val="9"/>
            <color indexed="81"/>
            <rFont val="Tahoma"/>
            <family val="2"/>
          </rPr>
          <t>KAREN DAMKE CALDERON
RENUNCIA AC 25-09-2023</t>
        </r>
      </text>
    </comment>
    <comment ref="I248" authorId="0" shapeId="0" xr:uid="{5E2BED05-689B-44D8-9518-1BFC372BA8A0}">
      <text>
        <r>
          <rPr>
            <b/>
            <sz val="9"/>
            <color indexed="81"/>
            <rFont val="Tahoma"/>
            <family val="2"/>
          </rPr>
          <t>LILIAN TAPIA CARVAJAL A JUEZ 
TOP OVALLE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LORENA VELASQUEZ MADRIAZA A 
RELATORA ICA PUNTA ARENAS
AC 13-10-2025</t>
        </r>
      </text>
    </comment>
    <comment ref="I251" authorId="0" shapeId="0" xr:uid="{75F49BED-247C-4832-91C3-8EEA18BCCA37}">
      <text>
        <r>
          <rPr>
            <b/>
            <sz val="9"/>
            <color indexed="81"/>
            <rFont val="Tahoma"/>
            <family val="2"/>
          </rPr>
          <t>JEANETTE AMADOR MUNIZAGA
INCENTIVO AL RETIRO
AC 30-06-2023</t>
        </r>
      </text>
    </comment>
    <comment ref="I256" authorId="0" shapeId="0" xr:uid="{45652EC3-6748-4896-BA76-CB73A4464FC5}">
      <text>
        <r>
          <rPr>
            <b/>
            <sz val="9"/>
            <color indexed="81"/>
            <rFont val="Tahoma"/>
            <family val="2"/>
          </rPr>
          <t xml:space="preserve">IVAN VIAL AGUILAR
A SECRETARIO TERCER JUZGADO DE LETRAS DE LA SERENA
AC 05-05-2023
</t>
        </r>
      </text>
    </comment>
    <comment ref="I261" authorId="0" shapeId="0" xr:uid="{8FF9B2DE-ACBC-4AA4-8703-1C019EEE3E44}">
      <text>
        <r>
          <rPr>
            <b/>
            <sz val="9"/>
            <color indexed="81"/>
            <rFont val="Tahoma"/>
            <family val="2"/>
          </rPr>
          <t>ANA ALFARO CORTES A JUEZ TOP LA SERENA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LILIAN TAPIA CARVAJAL A 
JUEZ TITULAR JG COQUIMBO
AC 27-12-2025</t>
        </r>
      </text>
    </comment>
    <comment ref="I262" authorId="0" shapeId="0" xr:uid="{2B5BD955-D94E-4BA1-8D26-9D91A8220760}">
      <text>
        <r>
          <rPr>
            <b/>
            <sz val="9"/>
            <color indexed="81"/>
            <rFont val="Tahoma"/>
            <family val="2"/>
          </rPr>
          <t>ELIZABETH ULLOA BUGUEÑO
INCENTIVO AL RETIRO
AC 27-06-2023</t>
        </r>
      </text>
    </comment>
    <comment ref="I267" authorId="0" shapeId="0" xr:uid="{A1D9F781-C552-4E2C-82BC-76A387FE812C}">
      <text>
        <r>
          <rPr>
            <b/>
            <sz val="9"/>
            <color indexed="81"/>
            <rFont val="Tahoma"/>
            <family val="2"/>
          </rPr>
          <t xml:space="preserve">MOISES PARRA GONZALEZ 
A OFICIAL SEGUNDO 
DEL PRIMER JUZGADO DE LETRAS DE COQUIMBO
AC 21-09-2022
</t>
        </r>
      </text>
    </comment>
    <comment ref="I268" authorId="1" shapeId="0" xr:uid="{EE6AACEA-D8F2-4217-B50F-F74A89E2648B}">
      <text>
        <r>
          <rPr>
            <b/>
            <sz val="9"/>
            <color indexed="81"/>
            <rFont val="Tahoma"/>
            <family val="2"/>
          </rPr>
          <t>Antonella Rojas Arqueros:
GENY ARAYA PIZARRO RENUNCIA VOLUNTARIA - INCENCITO AL RETIRO AC 01-07-2024</t>
        </r>
      </text>
    </comment>
    <comment ref="I271" authorId="0" shapeId="0" xr:uid="{5216D237-FF62-4272-B60A-70F421CBA293}">
      <text>
        <r>
          <rPr>
            <b/>
            <sz val="9"/>
            <color indexed="81"/>
            <rFont val="Tahoma"/>
            <family val="2"/>
          </rPr>
          <t xml:space="preserve">MARIA RAMIREZ IBACACHE
INCENTIVO AL RETIRO
AC 30-06-2023
</t>
        </r>
      </text>
    </comment>
    <comment ref="I272" authorId="1" shapeId="0" xr:uid="{7F57282F-5A1D-46DA-9CF1-9EC37917B17F}">
      <text>
        <r>
          <rPr>
            <b/>
            <sz val="9"/>
            <color indexed="81"/>
            <rFont val="Tahoma"/>
            <family val="2"/>
          </rPr>
          <t>Antonella Rojas Arqueros: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MAIRON MUÑOZ ASTETE ASUME OFICIAL 3° TITULAR JUZGADO LYG ANDACOLLO AC 27-08-24</t>
        </r>
      </text>
    </comment>
    <comment ref="I276" authorId="0" shapeId="0" xr:uid="{484901FA-1D52-4D94-85C2-EA0B7C9C5DED}">
      <text>
        <r>
          <rPr>
            <b/>
            <sz val="9"/>
            <color indexed="81"/>
            <rFont val="Tahoma"/>
            <family val="2"/>
          </rPr>
          <t xml:space="preserve">CAROL SEPULVEDA CARVAJAL A JUEZ TOP LA SERENA AC 20-06-2022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77" authorId="0" shapeId="0" xr:uid="{BC483158-FAE0-48F6-9635-1772C90F016B}">
      <text>
        <r>
          <rPr>
            <b/>
            <sz val="9"/>
            <color indexed="81"/>
            <rFont val="Tahoma"/>
            <family val="2"/>
          </rPr>
          <t>CAROL AHUMADA ZEPEDA
A ADMINISTRATIVO 3° 
DEL JUZGADO DE LETRAS DE VICUÑA
AC 25-01-2024
DIEGO ZEPEDA PASTEN A ADMINISTRATIVO 2° JUZGADO DE LETRAS DE VICUÑA 
AC 17-12-2024</t>
        </r>
      </text>
    </comment>
    <comment ref="I283" authorId="0" shapeId="0" xr:uid="{A96F2EDF-5AFF-4A86-A9FD-EB629602D2C4}">
      <text>
        <r>
          <rPr>
            <b/>
            <sz val="9"/>
            <color indexed="8"/>
            <rFont val="Aptos Narrow"/>
            <family val="2"/>
            <scheme val="minor"/>
          </rPr>
          <t>CARGO NUEVO
ROMINA ROJAS AMANTE ASUME COMO JEFE DE UNIDAD JUZGADO LETRAS DE VICUÑA AC 12-07-2024</t>
        </r>
      </text>
    </comment>
    <comment ref="I292" authorId="0" shapeId="0" xr:uid="{CED547FF-AF2D-4319-9447-374350193713}">
      <text>
        <r>
          <rPr>
            <b/>
            <sz val="9"/>
            <color indexed="81"/>
            <rFont val="Tahoma"/>
            <family val="2"/>
          </rPr>
          <t>MACARENA PEÑA Y LILLO EBENSPERGER A 
CONSEJERO TECNICO TITULAR 
DEL JLYG LOS VILOS
AC 04-12-2025</t>
        </r>
      </text>
    </comment>
    <comment ref="I297" authorId="2" shapeId="0" xr:uid="{74812948-EBBE-4582-8197-E9A76FB21AA9}">
      <text>
        <r>
          <rPr>
            <b/>
            <sz val="9"/>
            <color indexed="81"/>
            <rFont val="Tahoma"/>
            <family val="2"/>
          </rPr>
          <t>Antonella Valeska Arqueros Rojas:
MARIA INES CORTES CASTRO A OFICIAL DE SALA DEL 2° JUZGADO LETRAS DE OVALLE AC 29-05-25</t>
        </r>
      </text>
    </comment>
    <comment ref="I298" authorId="0" shapeId="0" xr:uid="{CD31BE6A-5FAC-4E23-B09E-60725E963F47}">
      <text>
        <r>
          <rPr>
            <b/>
            <sz val="9"/>
            <color indexed="81"/>
            <rFont val="Tahoma"/>
            <family val="2"/>
          </rPr>
          <t>ALEXIS ARAYA ARAYA
A OFICIAL CUARTO ICA LA SERENA
AC 01-07-2022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MARIANA ARAOS PINTO RENUNCIA VOLUNTARIA AC 07-10-2024
GUSTAVO TALCADO VIDAL, NO RENOVACIÓN CTA ACTA 19 2026</t>
        </r>
      </text>
    </comment>
    <comment ref="I306" authorId="1" shapeId="0" xr:uid="{7E45CC78-82BC-4E02-B0DB-4E7DE535CE8A}">
      <text>
        <r>
          <rPr>
            <b/>
            <sz val="9"/>
            <color indexed="81"/>
            <rFont val="Tahoma"/>
            <family val="2"/>
          </rPr>
          <t>Antonella Rojas Arqueros: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RUBEN CAROCA LAZO RENUNCIA VOLUNTARIA INCENTIVO AL RETIRO LEY 21,061 AC 31-07-2024
DE OFICIAL PRIMERO A ADMINISTRATIVO JEFE</t>
        </r>
      </text>
    </comment>
    <comment ref="I311" authorId="0" shapeId="0" xr:uid="{7E4DB125-00BB-45EB-AE71-1FD840FEFEFA}">
      <text>
        <r>
          <rPr>
            <b/>
            <sz val="9"/>
            <color indexed="8"/>
            <rFont val="Aptos Narrow"/>
            <family val="2"/>
            <scheme val="minor"/>
          </rPr>
          <t xml:space="preserve">ZAIDA PORRAS CARMONA A  CONSEJERO TECNICO JUZGADO DE LETRAS DE ILLAPEL AC 05-09-2025
</t>
        </r>
        <r>
          <rPr>
            <sz val="9"/>
            <color indexed="8"/>
            <rFont val="Aptos Narrow"/>
            <family val="2"/>
            <scheme val="minor"/>
          </rPr>
          <t xml:space="preserve">
</t>
        </r>
      </text>
    </comment>
    <comment ref="I317" authorId="0" shapeId="0" xr:uid="{B6F1A6BC-0EC3-4AB6-8125-126A30B269A3}">
      <text>
        <r>
          <rPr>
            <b/>
            <sz val="9"/>
            <color indexed="81"/>
            <rFont val="Tahoma"/>
            <family val="2"/>
          </rPr>
          <t>ISIDRO MONDACA CONTRERAS
RENUNCIA VOLUNTARIA
AC 18-01-2024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22" authorId="5" shapeId="0" xr:uid="{C0E4B5FA-8E44-4938-8A81-6572D5E8F7F8}">
      <text>
        <r>
          <rPr>
            <b/>
            <sz val="9"/>
            <color indexed="8"/>
            <rFont val="Aptos Narrow"/>
            <family val="2"/>
            <scheme val="minor"/>
          </rPr>
          <t>RENUNCIA NOLWIA CORTES A CONTAR DEL 01/04/2018</t>
        </r>
      </text>
    </comment>
    <comment ref="I324" authorId="0" shapeId="0" xr:uid="{72F27643-B5DC-400B-86CA-69A8661C080F}">
      <text>
        <r>
          <rPr>
            <b/>
            <sz val="9"/>
            <color indexed="81"/>
            <rFont val="Tahoma"/>
            <family val="2"/>
          </rPr>
          <t>VLADIMIR JOFRE HIDALGO 
A JUEZ 
JUZGADO DE LETRAS DE ILLAPEL
AC 25-07-2022</t>
        </r>
      </text>
    </comment>
    <comment ref="I333" authorId="0" shapeId="0" xr:uid="{B37EBFCB-50E3-4558-80D4-A0FDBC8CC621}">
      <text>
        <r>
          <rPr>
            <b/>
            <sz val="9"/>
            <color indexed="81"/>
            <rFont val="Tahoma"/>
            <family val="2"/>
          </rPr>
          <t xml:space="preserve">SAMANTHA BLANCO GUZMAN
A JUEZ DEL JUZGADO DE FAMILIA DE OVALLE
AC 20-02-2023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35" authorId="0" shapeId="0" xr:uid="{7DE881C0-57C0-48C5-A76E-94C466E493B2}">
      <text>
        <r>
          <rPr>
            <b/>
            <sz val="9"/>
            <color indexed="81"/>
            <rFont val="Tahoma"/>
            <family val="2"/>
          </rPr>
          <t>MARIANELA MESA LEIVA
INCENTIVO AL RETIRO AC 30-06-2023
PAULINA ORTIZ PAVEZ
DESISTIMIENTO
CARLOS PEREZ DE ACHA MICHALLAND
A ICA SAN MIGUEL AC 19-06-2025</t>
        </r>
      </text>
    </comment>
    <comment ref="I344" authorId="0" shapeId="0" xr:uid="{49F3599A-AA21-4E84-9774-170CC1F4F966}">
      <text>
        <r>
          <rPr>
            <b/>
            <sz val="9"/>
            <color indexed="81"/>
            <rFont val="Tahoma"/>
            <family val="2"/>
          </rPr>
          <t xml:space="preserve">PAZ ARANCIBIA FLORES
A ADMINISTRATIVO 3° 
DEL JUZGADO DE LETRAS DE VICUÑA
AC 28-03-2023
</t>
        </r>
      </text>
    </comment>
    <comment ref="I345" authorId="0" shapeId="0" xr:uid="{9F0B10A0-62A7-4A3F-AABD-B97F1528B2B8}">
      <text>
        <r>
          <rPr>
            <b/>
            <sz val="9"/>
            <color indexed="81"/>
            <rFont val="Tahoma"/>
            <family val="2"/>
          </rPr>
          <t xml:space="preserve">JUAN TORREJON BOLADOS
INCENTIVO AL RETIRO
RENUNCIA
AC 11-01-2024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48" authorId="0" shapeId="0" xr:uid="{E266E6D6-3073-49E3-94DD-27ACF0002CD2}">
      <text>
        <r>
          <rPr>
            <b/>
            <sz val="9"/>
            <color indexed="81"/>
            <rFont val="Tahoma"/>
            <family val="2"/>
          </rPr>
          <t>INGRID GUEVARA REYES A JUZGADO DE FAMILIA DE CORONEL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53" authorId="0" shapeId="0" xr:uid="{23EEB5F9-FE0C-44C2-9841-E869C6B66D1D}">
      <text>
        <r>
          <rPr>
            <b/>
            <sz val="9"/>
            <color indexed="81"/>
            <rFont val="Tahoma"/>
            <family val="2"/>
          </rPr>
          <t xml:space="preserve">SAMIR MAUAD GOMEZ
A CONSEJERO TECNICO TITULAR
JUZGADO DE FAMILIA DE LA SERENA
AC 04-01-2024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ASUME EN PROPIEDAD
 SADY LEAL AC 01-06-2024
SADY LEAL ZÚÑIGA ASUME TITULAR EN JDO FAMILIA TALCA AC 15-10-2024</t>
        </r>
      </text>
    </comment>
    <comment ref="I358" authorId="0" shapeId="0" xr:uid="{05C484A3-0944-42A2-8014-C955628E2246}">
      <text>
        <r>
          <rPr>
            <b/>
            <sz val="9"/>
            <color indexed="81"/>
            <rFont val="Tahoma"/>
            <family val="2"/>
          </rPr>
          <t>HAROLDO IRELAND CARVAJAL
INCENTIVO AL RETIRO AC 01/07/2021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60" authorId="2" shapeId="0" xr:uid="{5BE4210C-BE7C-43DA-86C5-85205001B5EF}">
      <text>
        <r>
          <rPr>
            <b/>
            <sz val="9"/>
            <color indexed="81"/>
            <rFont val="Tahoma"/>
            <family val="2"/>
          </rPr>
          <t>Antonella Valeska Arqueros Rojas: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LILIAN VEGA GALLEGUILLOS, SE DECLARA VACANTE POR SALUD IRRECUPERABLE AC 02-02-2025</t>
        </r>
      </text>
    </comment>
    <comment ref="I362" authorId="1" shapeId="0" xr:uid="{4547AB7A-1027-4C95-A106-F661CE09B82B}">
      <text>
        <r>
          <rPr>
            <b/>
            <sz val="10"/>
            <color indexed="81"/>
            <rFont val="Tahoma"/>
            <family val="2"/>
          </rPr>
          <t>Antonella Rojas Arqueros:</t>
        </r>
        <r>
          <rPr>
            <sz val="10"/>
            <color indexed="81"/>
            <rFont val="Tahoma"/>
            <family val="2"/>
          </rPr>
          <t xml:space="preserve">
RAQUEL FUENZALIDA DÍAZ A ADMIN. JL VICUÑA 
AC 06-05-2024
</t>
        </r>
      </text>
    </comment>
    <comment ref="I368" authorId="1" shapeId="0" xr:uid="{491CB7D0-68FC-4FAB-B170-4673AAFB347F}">
      <text>
        <r>
          <rPr>
            <b/>
            <sz val="10"/>
            <color indexed="81"/>
            <rFont val="Tahoma"/>
            <family val="2"/>
          </rPr>
          <t>Antonella Rojas Arqueros:
MARITZA MUÑOZ ARAYA RENUNCIA VOLUNTARIA INCENTIVO AL RETIRO 21,061 AC 26-01-2025</t>
        </r>
      </text>
    </comment>
    <comment ref="I371" authorId="0" shapeId="0" xr:uid="{F76D476B-5A14-4A77-B682-3D27D4F8FCE5}">
      <text>
        <r>
          <rPr>
            <b/>
            <sz val="9"/>
            <color indexed="81"/>
            <rFont val="Tahoma"/>
            <family val="2"/>
          </rPr>
          <t>CARLA HUEZ OLIVARES
RENUNCIA VOLUNTARIA
AC 18-01-2024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75" authorId="1" shapeId="0" xr:uid="{16396AFE-0DD9-419A-B05E-D07348B924D3}">
      <text>
        <r>
          <rPr>
            <b/>
            <sz val="9"/>
            <color indexed="81"/>
            <rFont val="Tahoma"/>
            <family val="2"/>
          </rPr>
          <t>Antonella Rojas Arqueros: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0"/>
            <color indexed="81"/>
            <rFont val="Tahoma"/>
            <family val="2"/>
          </rPr>
          <t>NATALIA ALVAREZ VILLARROEL A JUEZ DEL JUZGADO DE FAMILIA DE PEÑAFLOR AC 25-10-2024</t>
        </r>
      </text>
    </comment>
    <comment ref="I377" authorId="0" shapeId="0" xr:uid="{67C60D2E-44BE-451B-A061-73EF7EF6355F}">
      <text>
        <r>
          <rPr>
            <b/>
            <sz val="9"/>
            <color indexed="81"/>
            <rFont val="Tahoma"/>
            <family val="2"/>
          </rPr>
          <t xml:space="preserve">MARIA JOSE GOMEZ SEGURA
ADMINISTRATIVO 1°
JL DEL TRABAJO DE LA SERENA
AC 24-04-2023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78" authorId="0" shapeId="0" xr:uid="{384C5C70-9622-4A1D-BEE2-C507679D7B9C}">
      <text>
        <r>
          <rPr>
            <b/>
            <sz val="9"/>
            <color indexed="81"/>
            <rFont val="Tahoma"/>
            <family val="2"/>
          </rPr>
          <t>MACKARENA BERMEJO AGÜERO A OFICIAL TERCERO DEL SEGUNDO JUZGADO DE COQUIMBO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80" authorId="2" shapeId="0" xr:uid="{34B08EBE-BF99-47D6-9300-6B30328CB63F}">
      <text>
        <r>
          <rPr>
            <b/>
            <sz val="9"/>
            <color indexed="81"/>
            <rFont val="Tahoma"/>
            <family val="2"/>
          </rPr>
          <t>Antonella Valeska Arqueros Rojas:
MACARENA PEÑA Y LILLO EBENSPERGER 
A CONSEJERO TECNICO TITULAR
JLYG LOS VILOS AC 04-12-2025</t>
        </r>
      </text>
    </comment>
    <comment ref="I382" authorId="0" shapeId="0" xr:uid="{1EC62148-F2C8-430E-8F54-5328D4AABBD7}">
      <text>
        <r>
          <rPr>
            <b/>
            <sz val="9"/>
            <color indexed="81"/>
            <rFont val="Tahoma"/>
            <family val="2"/>
          </rPr>
          <t>GABRIELA OLIVARES ARENAS A COORDINADOR TRIBUNAL 2 JUZGADO DE LETRAS DE COQUIMBO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86" authorId="0" shapeId="0" xr:uid="{1C01417A-369C-4823-AF66-5CB35D700436}">
      <text>
        <r>
          <rPr>
            <b/>
            <sz val="9"/>
            <color indexed="81"/>
            <rFont val="Tahoma"/>
            <family val="2"/>
          </rPr>
          <t xml:space="preserve">RENUNCIA PAULINA BOETTO FUENZALIDA AC 23/06/2020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89" authorId="0" shapeId="0" xr:uid="{A9FF6265-1336-46C1-9A36-3617BB7C5C70}">
      <text>
        <r>
          <rPr>
            <b/>
            <sz val="9"/>
            <color indexed="81"/>
            <rFont val="Tahoma"/>
            <family val="2"/>
          </rPr>
          <t>CAROLINE TURNER GONZALEZ A MINISTRA ICA PUNTA ARENAS 
23-06-2022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90" authorId="1" shapeId="0" xr:uid="{CFD6D3D7-B3B9-402C-B625-102DE0E9246C}">
      <text>
        <r>
          <rPr>
            <b/>
            <sz val="9"/>
            <color indexed="81"/>
            <rFont val="Tahoma"/>
            <family val="2"/>
          </rPr>
          <t>Antonella Rojas Arqueros:
MIREYA DIAZ CASTILLO RENUNCIA VOLUNTARIA INCENTIVO AL RETIRO LEY 21,061 AC 31-07-2024</t>
        </r>
      </text>
    </comment>
    <comment ref="I393" authorId="1" shapeId="0" xr:uid="{48809E85-D6B5-4539-8865-54BEC0D63296}">
      <text>
        <r>
          <rPr>
            <b/>
            <sz val="9"/>
            <color indexed="81"/>
            <rFont val="Tahoma"/>
            <family val="2"/>
          </rPr>
          <t>Antonella Rojas Arqueros:
JORGE ARAYA OLIVARES, RENUNCIA VOLUNTARIA LEY 21.061 AC 30-06-2024</t>
        </r>
      </text>
    </comment>
    <comment ref="I394" authorId="0" shapeId="0" xr:uid="{CD6761B5-4230-4FB5-A5E3-C9F1A40B4D9A}">
      <text>
        <r>
          <rPr>
            <b/>
            <sz val="9"/>
            <color indexed="81"/>
            <rFont val="Tahoma"/>
            <family val="2"/>
          </rPr>
          <t>MARIA NORMA MILLAS RIEDEMANN
CESE FUNCIONES POR EDAD
AC 25-11-2022
JUAN PABLO TORRIJO ROJAS
A JUEZ JF LA SERENA
AC 23-06-2025</t>
        </r>
      </text>
    </comment>
    <comment ref="I396" authorId="0" shapeId="0" xr:uid="{F2B0B881-BD2E-494F-B61D-F6B80CD8C9BF}">
      <text>
        <r>
          <rPr>
            <b/>
            <sz val="9"/>
            <color indexed="81"/>
            <rFont val="Tahoma"/>
            <family val="2"/>
          </rPr>
          <t>IVAN CORONA ALBORNOZ A MINISTRO CORTE DE APELACIONES DE LA SERENA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97" authorId="0" shapeId="0" xr:uid="{383887AC-6339-4134-B82F-7E0212AA645C}">
      <text>
        <r>
          <rPr>
            <b/>
            <sz val="9"/>
            <color indexed="81"/>
            <rFont val="Tahoma"/>
            <family val="2"/>
          </rPr>
          <t>CONSTANZA SEPULVEDA GRUSIC
A SECRETARIA 
3 JL COQUIMBO
AC 26-12-2023</t>
        </r>
      </text>
    </comment>
    <comment ref="I398" authorId="1" shapeId="0" xr:uid="{BE7A7515-7BB7-46EA-B2CC-8B44573D1848}">
      <text>
        <r>
          <rPr>
            <b/>
            <sz val="10"/>
            <color indexed="81"/>
            <rFont val="Tahoma"/>
            <family val="2"/>
          </rPr>
          <t>Antonella Rojas Arqueros:
LUCIA ROBLEDO ARAYA RENUNCIA VOLUNTARIA INCENTIVO AL RETIRO 21,061 AC 26-01-2025</t>
        </r>
      </text>
    </comment>
    <comment ref="I401" authorId="2" shapeId="0" xr:uid="{BFCBF36C-0EAC-4C31-86D1-53882A6954D0}">
      <text>
        <r>
          <rPr>
            <b/>
            <sz val="9"/>
            <color indexed="81"/>
            <rFont val="Tahoma"/>
            <family val="2"/>
          </rPr>
          <t>Antonella Valeska Arqueros Rojas: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RENUNCIA VOLUNTARIA LEY 21,061 GLADYS TOBAR CHAVEZ AC 01-07-2025</t>
        </r>
      </text>
    </comment>
    <comment ref="I402" authorId="0" shapeId="0" xr:uid="{48D36E16-1C9D-4411-853E-3D59F4769A8C}">
      <text>
        <r>
          <rPr>
            <b/>
            <sz val="9"/>
            <color indexed="81"/>
            <rFont val="Tahoma"/>
            <family val="2"/>
          </rPr>
          <t xml:space="preserve">CATHERINE VARAS TORO
RENUNCIA
AC 01-09-2022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403" authorId="0" shapeId="0" xr:uid="{5C2B9784-636F-437D-B22D-FFDB17511514}">
      <text>
        <r>
          <rPr>
            <b/>
            <sz val="9"/>
            <color indexed="81"/>
            <rFont val="Tahoma"/>
            <family val="2"/>
          </rPr>
          <t>JUAN TORRIJO ROJAS
A JUEZ DEL JUZGADO DE FAMILIA DE OVALLE
AC 16-02-2023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405" authorId="0" shapeId="0" xr:uid="{6D4192BE-8E03-4240-88FF-10D665D8F74C}">
      <text>
        <r>
          <rPr>
            <b/>
            <sz val="9"/>
            <color indexed="81"/>
            <rFont val="Tahoma"/>
            <family val="2"/>
          </rPr>
          <t>CRISTIAN MARIN ARAYA
A AYUDANTE DE SERVICIOS EN JL ILLAPEL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410" authorId="0" shapeId="0" xr:uid="{B5D4A1F9-4FCB-4431-B3CA-8497D3BFA2BB}">
      <text>
        <r>
          <rPr>
            <b/>
            <sz val="9"/>
            <color indexed="81"/>
            <rFont val="Tahoma"/>
            <family val="2"/>
          </rPr>
          <t>MONICA ARANDA ZAMBRA 
OFICIAL 1° DEL JUZGADO DE LETRAS DE DIEGO DE ALMAGRO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AC 19-01-2023
NICE GUAJARDO REQUENA PERMUTA REX 3057
A OFICIAL 4° 2° JL LA SERENA
AC 03-10-2025</t>
        </r>
      </text>
    </comment>
    <comment ref="I412" authorId="0" shapeId="0" xr:uid="{884F2369-FBA5-40BA-8F28-4C9A3BA7D60F}">
      <text>
        <r>
          <rPr>
            <b/>
            <sz val="9"/>
            <color indexed="81"/>
            <rFont val="Tahoma"/>
            <family val="2"/>
          </rPr>
          <t>FRESIA OLIVARS TIRADO 
CESE DE FUNCIONES AC 15/03/2021</t>
        </r>
      </text>
    </comment>
    <comment ref="I414" authorId="0" shapeId="0" xr:uid="{1DB88B95-CC26-4A6E-BCFF-4FB9BC54CCA5}">
      <text>
        <r>
          <rPr>
            <b/>
            <sz val="9"/>
            <color indexed="81"/>
            <rFont val="Tahoma"/>
            <family val="2"/>
          </rPr>
          <t>MONICA ABALOS DIAZ INCENTIVO AL RETIRO AC 27-01-2022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415" authorId="0" shapeId="0" xr:uid="{E2ED2753-444F-4ADD-9B4C-C234662E0765}">
      <text>
        <r>
          <rPr>
            <b/>
            <sz val="9"/>
            <color indexed="81"/>
            <rFont val="Tahoma"/>
            <family val="2"/>
          </rPr>
          <t xml:space="preserve">MABEL EGAÑA CERDA - INCENTIVO AL RETIRO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416" authorId="2" shapeId="0" xr:uid="{7530236A-832E-4687-BEE2-6EA524FEF930}">
      <text>
        <r>
          <rPr>
            <b/>
            <sz val="9"/>
            <color indexed="81"/>
            <rFont val="Tahoma"/>
            <family val="2"/>
          </rPr>
          <t>Antonella Valeska Arqueros Rojas:
LORETO FIGUEROA TOLOSA A 
JUEZA TOP DE LA SERENA
 AC 10-06-2025</t>
        </r>
      </text>
    </comment>
    <comment ref="I424" authorId="2" shapeId="0" xr:uid="{457EA412-45EB-48A3-B285-A389666E822D}">
      <text>
        <r>
          <rPr>
            <b/>
            <sz val="9"/>
            <color indexed="81"/>
            <rFont val="Tahoma"/>
            <family val="2"/>
          </rPr>
          <t>Antonella Valeska Arqueros Rojas: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MARIA RODRIGUEZ ASPILLAGA RENUNCIA VOLUNTARIA LEY 21,061 AC 31-01-2025</t>
        </r>
      </text>
    </comment>
    <comment ref="I425" authorId="3" shapeId="0" xr:uid="{320EC73C-5455-406F-8F96-C723E72F59A4}">
      <text>
        <r>
          <rPr>
            <b/>
            <sz val="9"/>
            <color indexed="8"/>
            <rFont val="Aptos Narrow"/>
            <family val="2"/>
            <scheme val="minor"/>
          </rPr>
          <t>JAIME FRANCO UGARTE - INCENTIVO AL RETIRO AC 09/07/2019</t>
        </r>
        <r>
          <rPr>
            <sz val="9"/>
            <color indexed="8"/>
            <rFont val="Aptos Narrow"/>
            <family val="2"/>
            <scheme val="minor"/>
          </rPr>
          <t xml:space="preserve">
</t>
        </r>
      </text>
    </comment>
    <comment ref="I427" authorId="2" shapeId="0" xr:uid="{BCC4C983-3893-4D2E-A111-B170DCE8D378}">
      <text>
        <r>
          <rPr>
            <b/>
            <sz val="9"/>
            <color indexed="81"/>
            <rFont val="Tahoma"/>
            <family val="2"/>
          </rPr>
          <t>Antonella Valeska Arqueros Rojas: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DIGNA KONG LAFUENTE A DIGITADOR DE SALA DE ICA LA SERENA AC 06-05-2025</t>
        </r>
      </text>
    </comment>
    <comment ref="I431" authorId="0" shapeId="0" xr:uid="{49A938B7-F897-4089-A4FB-C222F1383F8F}">
      <text>
        <r>
          <rPr>
            <b/>
            <sz val="9"/>
            <color indexed="81"/>
            <rFont val="Tahoma"/>
            <family val="2"/>
          </rPr>
          <t>JUANA ALVARADO ARAYA
RENUNCIA VOLUNTARIA
AC 18-01-2024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ROSA GODOY BARRAZA RENUNCIA VOLUNTARIA AC 08-07-2024</t>
        </r>
      </text>
    </comment>
    <comment ref="I436" authorId="0" shapeId="0" xr:uid="{E49720A6-D275-4900-A5B5-F939077C0C34}">
      <text>
        <r>
          <rPr>
            <b/>
            <sz val="9"/>
            <color indexed="81"/>
            <rFont val="Tahoma"/>
            <family val="2"/>
          </rPr>
          <t>MONICAGAJARDO GALLARDO A ADMINISTRATIVO 1° TOP OVALLE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441" authorId="0" shapeId="0" xr:uid="{836786A6-963A-426D-A3F1-596B232A910A}">
      <text>
        <r>
          <rPr>
            <b/>
            <sz val="9"/>
            <color indexed="81"/>
            <rFont val="Tahoma"/>
            <family val="2"/>
          </rPr>
          <t>XIMENA MARZAL NUÑEZ
A JUEZA 
JUZGADO DE LETRAS DE COLINA
AC 11-09-2023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443" authorId="0" shapeId="0" xr:uid="{161375FA-9E58-4AF5-928B-B5BF1D01FC27}">
      <text>
        <r>
          <rPr>
            <b/>
            <sz val="9"/>
            <color indexed="81"/>
            <rFont val="Tahoma"/>
            <family val="2"/>
          </rPr>
          <t>ISABEL VELASQUEZ ROJAS
A JUEZ
JUZGADO DE FAMILIA DE COQUIMBO
AC 15-02-2024</t>
        </r>
      </text>
    </comment>
    <comment ref="I446" authorId="3" shapeId="0" xr:uid="{99B18625-66B0-4B53-A0A6-1D9415EDD01B}">
      <text>
        <r>
          <rPr>
            <b/>
            <sz val="9"/>
            <color indexed="8"/>
            <rFont val="Aptos Narrow"/>
            <family val="2"/>
            <scheme val="minor"/>
          </rPr>
          <t>MANUEL VERGARA ESPARTA A SECRETARIO PRIMER JL SAN ANTONIO</t>
        </r>
        <r>
          <rPr>
            <sz val="9"/>
            <color indexed="8"/>
            <rFont val="Aptos Narrow"/>
            <family val="2"/>
            <scheme val="minor"/>
          </rPr>
          <t xml:space="preserve">
</t>
        </r>
      </text>
    </comment>
    <comment ref="I449" authorId="0" shapeId="0" xr:uid="{A83D138D-E29B-49F9-920D-8E34CC45C673}">
      <text>
        <r>
          <rPr>
            <b/>
            <sz val="9"/>
            <color indexed="81"/>
            <rFont val="Tahoma"/>
            <family val="2"/>
          </rPr>
          <t>KARLA MALEBRAN TORRES
A JUEZ 
1 JL LA SERENA
AC 29-12-2023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452" authorId="0" shapeId="0" xr:uid="{4E2BEDE3-95DA-436E-BB1E-A208438E29DD}">
      <text>
        <r>
          <rPr>
            <b/>
            <sz val="9"/>
            <color indexed="81"/>
            <rFont val="Tahoma"/>
            <family val="2"/>
          </rPr>
          <t>ALEXIS ARAYA ARAYA
A OFICIAL CUARTO ICA LA SERENA
AC 01-07-2022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MARIANA ARAOS PINTO RENUNCIA VOLUNTARIA AC 07-10-2024</t>
        </r>
      </text>
    </comment>
    <comment ref="I454" authorId="0" shapeId="0" xr:uid="{8E55A7ED-16C7-49C8-91B5-F82241B25899}">
      <text>
        <r>
          <rPr>
            <b/>
            <sz val="9"/>
            <color indexed="81"/>
            <rFont val="Tahoma"/>
            <family val="2"/>
          </rPr>
          <t>MAISY SANHUEZA TASSO
INCENTIVO AL RETIRO AC 01/07/2021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464" authorId="0" shapeId="0" xr:uid="{278C6BBB-0CF3-4C1E-9594-1038753E602F}">
      <text>
        <r>
          <rPr>
            <b/>
            <sz val="9"/>
            <color indexed="81"/>
            <rFont val="Tahoma"/>
            <family val="2"/>
          </rPr>
          <t>SERGIO AYCA VARGAS
RENUNCIA
AC 02-04-2024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MARIA ELGUETA ALARCÓN  ACEPTA OTRA DESIGNACIÓN AC 10-11-2024</t>
        </r>
      </text>
    </comment>
    <comment ref="I465" authorId="1" shapeId="0" xr:uid="{8014156E-2A23-4CAC-BE0A-E75D41A9ACC7}">
      <text>
        <r>
          <rPr>
            <b/>
            <sz val="9"/>
            <color indexed="81"/>
            <rFont val="Tahoma"/>
            <family val="2"/>
          </rPr>
          <t>Antonella Rojas Arqueros: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ABIGAIL DIAZ TRASLAVIÑA RENUNCIA VOLUNTARIA INCENTIVO AL RETIRO LEY 21,061 AC 31-07-2024</t>
        </r>
      </text>
    </comment>
    <comment ref="I466" authorId="2" shapeId="0" xr:uid="{20ABD1A0-B510-4195-9707-3725199D53FE}">
      <text>
        <r>
          <rPr>
            <b/>
            <sz val="9"/>
            <color indexed="81"/>
            <rFont val="Tahoma"/>
            <family val="2"/>
          </rPr>
          <t>Antonella Valeska Arqueros Rojas:
SOLEDAD PERUCCI FUENTES RENUNCIA VOLUNTARIA AC 28-05-2025</t>
        </r>
      </text>
    </comment>
    <comment ref="I470" authorId="1" shapeId="0" xr:uid="{71688BDA-ADED-46AD-8BC5-0592CE416575}">
      <text>
        <r>
          <rPr>
            <b/>
            <sz val="9"/>
            <color indexed="81"/>
            <rFont val="Tahoma"/>
            <family val="2"/>
          </rPr>
          <t>Antonella Rojas Arqueros: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AARON PASTEN TRUJILLO A ADMINISTRATIVO JEFE DEL JUZGADO DE LETRAS DE VICUÑA</t>
        </r>
      </text>
    </comment>
    <comment ref="I471" authorId="2" shapeId="0" xr:uid="{D9B9177C-DA0E-43DC-95E5-C6625E8F58E3}">
      <text>
        <r>
          <rPr>
            <b/>
            <sz val="9"/>
            <color indexed="81"/>
            <rFont val="Tahoma"/>
            <family val="2"/>
          </rPr>
          <t>Antonella Valeska Arqueros Rojas: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DECLARA VACANTE POR FALLECIMIENTO SR. RAUL CARRASCO ACEVEDO
AC 28-12-2025</t>
        </r>
      </text>
    </comment>
    <comment ref="I472" authorId="0" shapeId="0" xr:uid="{FCD6FEBC-C71A-4BE9-8333-BA25B340AF2C}">
      <text>
        <r>
          <rPr>
            <b/>
            <sz val="9"/>
            <color indexed="81"/>
            <rFont val="Tahoma"/>
            <family val="2"/>
          </rPr>
          <t>ROBERTO GAHONA ROJAS
A JUEZ DEL JLYG DE DIEGO DE ALMAGRO
AC 11-11-2022
IVAN VIAL AGUILAR A RELATOR TITULAR ICA LA SERENA AC 03-06-2024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CLAUDIA CASTRO AQUEA A 
RELATORA TITULAR
ICA LA SERENA AC 19-01-2026</t>
        </r>
      </text>
    </comment>
    <comment ref="I473" authorId="1" shapeId="0" xr:uid="{9CED7D84-1ECF-4BB6-A096-7E4E7157283B}">
      <text>
        <r>
          <rPr>
            <b/>
            <sz val="9"/>
            <color indexed="81"/>
            <rFont val="Tahoma"/>
            <family val="2"/>
          </rPr>
          <t>Antonella Rojas Arqueros: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ALEJANDRA VERA BARAHONA A JUEZ DEL JFAMILIA DE OVALLE AC 13-06-2024
ALEJANDRA CORVALAN HELBIG
A JUEZ TOP SANTA CRUZ
AC 26-01-2026</t>
        </r>
      </text>
    </comment>
    <comment ref="I474" authorId="2" shapeId="0" xr:uid="{8487C393-2CD1-454C-A8B3-22968CA47457}">
      <text>
        <r>
          <rPr>
            <b/>
            <sz val="9"/>
            <color indexed="81"/>
            <rFont val="Tahoma"/>
            <family val="2"/>
          </rPr>
          <t>SANDRA HERNANDEZ MESTON RENUNCIA VOLUNTARIA 
INCENTIVO AL RETIRO 
AC 25-01-2026</t>
        </r>
      </text>
    </comment>
    <comment ref="I475" authorId="1" shapeId="0" xr:uid="{EAF3775B-41CB-4D34-B352-E81FE072D9AF}">
      <text>
        <r>
          <rPr>
            <b/>
            <sz val="9"/>
            <color indexed="81"/>
            <rFont val="Tahoma"/>
            <family val="2"/>
          </rPr>
          <t>Antonella Rojas Arqueros:
PALOMA CASANOVA CARVAJAL RENUNCIA VOLUNTARIA AC 20-07-2024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FRANCISCO ROBLEDO NEIRA
RENUNCIA VOLUNTARIA  
AC 26-02-2026</t>
        </r>
      </text>
    </comment>
    <comment ref="I476" authorId="2" shapeId="0" xr:uid="{9ED7AB43-C97D-44BD-BBC2-EDC821E79169}">
      <text>
        <r>
          <rPr>
            <b/>
            <sz val="9"/>
            <color indexed="81"/>
            <rFont val="Tahoma"/>
            <family val="2"/>
          </rPr>
          <t>Antonella Valeska Arqueros Rojas: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RENE URRUTIA URIBE
 RENUNCIA VOLUNTARIA 
INCENTIVO AL RETIRO 
LEY 21,061 AC 27-02-2026</t>
        </r>
      </text>
    </comment>
    <comment ref="I477" authorId="0" shapeId="0" xr:uid="{155CBE91-AFF7-4CB8-90FD-13057947E954}">
      <text>
        <r>
          <rPr>
            <b/>
            <sz val="9"/>
            <color indexed="81"/>
            <rFont val="Tahoma"/>
            <family val="2"/>
          </rPr>
          <t>FRANCISCA PAVEZ CEPEDA
A SECRETARIA
PRIMER JUZGADO DE LETRAS DE PUERTO MONTT
PIA DROGUETTI FUENTES
A SECRETRARIA DEL
2° JUZGADO LETRAS DE COQUIMBO 
AC 12-02-2026</t>
        </r>
      </text>
    </comment>
    <comment ref="I478" authorId="2" shapeId="0" xr:uid="{09C75194-C715-48E3-96B0-5F21947F075B}">
      <text>
        <r>
          <rPr>
            <b/>
            <sz val="9"/>
            <color indexed="81"/>
            <rFont val="Tahoma"/>
            <family val="2"/>
          </rPr>
          <t>SANDRA HERNANDEZ AGUIRRE 
A ADMINISTRATIVO 1° TOP LA SERENA
AC 09-03-2026</t>
        </r>
      </text>
    </comment>
    <comment ref="I479" authorId="4" shapeId="0" xr:uid="{15170F8B-8BC9-4607-8848-0551E8DB2590}">
      <text>
        <r>
          <rPr>
            <b/>
            <sz val="11"/>
            <color indexed="8"/>
            <rFont val="Aptos Narrow"/>
            <family val="2"/>
            <scheme val="minor"/>
          </rPr>
          <t>ERIC ALCAYAGA VIAL A OFICIAL CUARTO JUZGADO DE GARANTIA DE LA SERENA
ACTA 19
ERIC ALCAYAGA VIAL
RENUNCIA VOLUNTARIA 
AC 04-03-2026</t>
        </r>
      </text>
    </comment>
    <comment ref="I480" authorId="0" shapeId="0" xr:uid="{AE697754-80D4-4FEC-A5F3-743A88CD4D27}">
      <text>
        <r>
          <rPr>
            <b/>
            <sz val="9"/>
            <color indexed="81"/>
            <rFont val="Tahoma"/>
            <family val="2"/>
          </rPr>
          <t>DORIS MOLINA PALMA
A SECRETARIA
2° JUZGADO DE LE TRAS DE OVALLE
AC 31-10-2023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BRAULIO MERIÑO URRA
A RELATOR ICA LA SERENA
AC 06-04-2026</t>
        </r>
      </text>
    </comment>
    <comment ref="I481" authorId="1" shapeId="0" xr:uid="{62365048-F245-46F5-BC96-87C74F1F3985}">
      <text>
        <r>
          <rPr>
            <b/>
            <sz val="9"/>
            <color indexed="81"/>
            <rFont val="Tahoma"/>
            <family val="2"/>
          </rPr>
          <t>Antonella Rojas Arqueros: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ALEJANDRA CORVALAN HELBIG A JUEZA DEL JUZGADO DE LETRAS Y GARANTIA DE ANDACOLLO
AC 04-12-2024
DIANA MARIN CASTAÑEDA
A JUEZA 3°JL CQBO
AC 21-04-2026</t>
        </r>
      </text>
    </comment>
    <comment ref="I482" authorId="0" shapeId="0" xr:uid="{0F73B02B-B972-4B43-96DF-AB04EBF03A2A}">
      <text>
        <r>
          <rPr>
            <b/>
            <sz val="9"/>
            <color indexed="81"/>
            <rFont val="Tahoma"/>
            <family val="2"/>
          </rPr>
          <t xml:space="preserve">JUAN LAGOS LOPEZ
A COORDINADOR DE TRIBUNAL
TERCER JUZGADO DE LETRAS DE COQUIMBO
AC 04-04-2024
</t>
        </r>
      </text>
    </comment>
    <comment ref="I483" authorId="0" shapeId="0" xr:uid="{8C825EC1-6010-4533-A186-D2A925BB1B10}">
      <text>
        <r>
          <rPr>
            <b/>
            <sz val="9"/>
            <color indexed="81"/>
            <rFont val="Tahoma"/>
            <family val="2"/>
          </rPr>
          <t>FRANCISCO TAPIA MARZAL
A ADMINISTRATIVO CONTABLE ACTA 19
UNIDAD DE LIQUIDACIONES
AC 15-05-2023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484" authorId="0" shapeId="0" xr:uid="{44E513E6-81DF-4919-B542-4D3B90F73802}">
      <text>
        <r>
          <rPr>
            <b/>
            <sz val="9"/>
            <color indexed="81"/>
            <rFont val="Tahoma"/>
            <family val="2"/>
          </rPr>
          <t>ALEXIS PEREZ CORTES
A ADMINISTRATIVO CONTABLE ACTA 19
UNIDAD DE LIQUIDACIONES
AC 15-05-2023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485" authorId="0" shapeId="0" xr:uid="{4C1FC306-609A-4AE2-A1C9-B9E4F49F7D80}">
      <text>
        <r>
          <rPr>
            <b/>
            <sz val="9"/>
            <color indexed="81"/>
            <rFont val="Tahoma"/>
            <family val="2"/>
          </rPr>
          <t>PATRICIO VARGAS AGUIRRE
A SUPERVISOR ACTA 19
UNIDAD DE LIQUIDACIONES
AC 15-05-2023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486" authorId="0" shapeId="0" xr:uid="{73B47AE7-8A1D-46CE-BACD-A2595F2A1FBE}">
      <text>
        <r>
          <rPr>
            <b/>
            <sz val="9"/>
            <color indexed="81"/>
            <rFont val="Tahoma"/>
            <family val="2"/>
          </rPr>
          <t>CAROLA ARACENA GUERRA A ADMINISTRATIVO 3° DEL JUZGADO DE GARANTIA OVALLE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487" authorId="0" shapeId="0" xr:uid="{7BE6603F-D389-4C20-9172-2B571D03BF0C}">
      <text>
        <r>
          <rPr>
            <b/>
            <sz val="9"/>
            <color indexed="81"/>
            <rFont val="Tahoma"/>
            <family val="2"/>
          </rPr>
          <t>MIRIAM VELIZ CORTES DE ADMINISTRADORA INTERINA ICA LA SERENA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488" authorId="6" shapeId="0" xr:uid="{FF1114D7-6B62-4B97-86EC-C75AE6EDFFA7}">
      <text>
        <r>
          <rPr>
            <b/>
            <sz val="9"/>
            <color indexed="8"/>
            <rFont val="Aptos Narrow"/>
            <family val="2"/>
            <scheme val="minor"/>
          </rPr>
          <t>ANA SAN JUAN CASTILLO
A OFICIAL CUARTO JG LA SERENA
CONTRATA ACTA 19
AC 07/12/2019</t>
        </r>
        <r>
          <rPr>
            <sz val="9"/>
            <color indexed="8"/>
            <rFont val="Aptos Narrow"/>
            <family val="2"/>
            <scheme val="minor"/>
          </rPr>
          <t xml:space="preserve">
</t>
        </r>
      </text>
    </comment>
    <comment ref="I489" authorId="4" shapeId="0" xr:uid="{09F67DB8-E57A-4367-AAA3-3F8A35B2D1EC}">
      <text>
        <r>
          <rPr>
            <b/>
            <sz val="9"/>
            <color indexed="8"/>
            <rFont val="Aptos Narrow"/>
            <family val="2"/>
            <scheme val="minor"/>
          </rPr>
          <t>SANDRA JAURIAT A JEFE DE UNIDAD ICA LA SERENA CONTRATA ACTA 191</t>
        </r>
        <r>
          <rPr>
            <b/>
            <sz val="8"/>
            <color indexed="8"/>
            <rFont val="Aptos Narrow"/>
            <family val="2"/>
            <scheme val="minor"/>
          </rPr>
          <t xml:space="preserve">
</t>
        </r>
      </text>
    </comment>
    <comment ref="I490" authorId="4" shapeId="0" xr:uid="{860DECD6-A5BD-46AE-8304-EE3E6825F489}">
      <text>
        <r>
          <rPr>
            <b/>
            <sz val="8"/>
            <color indexed="8"/>
            <rFont val="Aptos Narrow"/>
            <family val="2"/>
            <scheme val="minor"/>
          </rPr>
          <t>ADMINISTRATIVO 3° ALVARO MUÑOZ COLLIO A SUPERVISOR DEL COCCMP FAMILIA
ACTA 19</t>
        </r>
      </text>
    </comment>
    <comment ref="I491" authorId="4" shapeId="0" xr:uid="{9232B343-EE54-48FE-8FED-7C8809E971B1}">
      <text>
        <r>
          <rPr>
            <b/>
            <sz val="11"/>
            <color indexed="8"/>
            <rFont val="Aptos Narrow"/>
            <family val="2"/>
            <scheme val="minor"/>
          </rPr>
          <t>AUXILIAR JORGE PERNIA ALDAY A OFICIAL CUARTO DEL JUZGADO GARANTIA COQUIMBO
AC 13/08/2018 - ACTA 19</t>
        </r>
        <r>
          <rPr>
            <b/>
            <sz val="8"/>
            <color indexed="8"/>
            <rFont val="Aptos Narrow"/>
            <family val="2"/>
            <scheme val="minor"/>
          </rPr>
          <t xml:space="preserve">
</t>
        </r>
      </text>
    </comment>
    <comment ref="I492" authorId="0" shapeId="0" xr:uid="{40A202BD-34CD-41FA-880D-D63E99186946}">
      <text>
        <r>
          <rPr>
            <b/>
            <sz val="10"/>
            <color indexed="81"/>
            <rFont val="Tahoma"/>
            <family val="2"/>
          </rPr>
          <t>ROMINA CABRERA GUAJARDO
A ADMINISTRATIVO 2°
JUZGADO DE FAMILIA DE COQUIMBO
AC 11-12-2023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b/>
            <sz val="10"/>
            <color indexed="81"/>
            <rFont val="Tahoma"/>
            <family val="2"/>
          </rPr>
          <t>AUXILIAR CARLOS CUADRA CONTRERAS A OFICIAL CUARTO DEL JUZGADO FAMILIA COQUIMBO
AC 14-10-2024 - CTA ANUAL ACTA 19</t>
        </r>
      </text>
    </comment>
    <comment ref="I493" authorId="1" shapeId="0" xr:uid="{386DA307-FB75-4C17-8809-F0D0084951CD}">
      <text>
        <r>
          <rPr>
            <b/>
            <sz val="10"/>
            <color indexed="81"/>
            <rFont val="Tahoma"/>
            <family val="2"/>
          </rPr>
          <t>Antonella Rojas Arqueros:
ADMINISTRATIVO 2° PATRICIA LEMUS CASTILLO A ADMINISTRATIVO ABOGADO DEL 3° JUZGADO LETRAS DE COQUIMBO
AC 18-10-2024 - CTA ANUAL ACTA 19</t>
        </r>
      </text>
    </comment>
    <comment ref="I494" authorId="0" shapeId="0" xr:uid="{37122ABF-3260-42A9-8F93-562C44451702}">
      <text>
        <r>
          <rPr>
            <b/>
            <sz val="9"/>
            <color indexed="81"/>
            <rFont val="Tahoma"/>
            <family val="2"/>
          </rPr>
          <t>CESAR PEREZ MONTINO
A OFICIAL TERCERO 
JUZGADO DE LETRAS DE OVALLE
AC 01-03-2024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ALEX BUGUEÑO ARAYA 
A OFICIAL TERCERO DEL
2° JUZGADO LETRAS DE OVALLE
AC 03-03-2025
MARÍA INES CORTES CASTRO A OFICIAL CUARTO CTA ACTA 19
DEL 2° JL OVALLE AC 14-02-2026</t>
        </r>
      </text>
    </comment>
    <comment ref="I495" authorId="1" shapeId="0" xr:uid="{64832883-9965-428F-B672-3A255B8A6E6D}">
      <text>
        <r>
          <rPr>
            <b/>
            <sz val="9"/>
            <color indexed="81"/>
            <rFont val="Tahoma"/>
            <family val="2"/>
          </rPr>
          <t>Antonella Rojas Arqueros: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LUIS PRADO ROJAS RENUNCIA VOLUNTARIA AC 09-12-2024</t>
        </r>
      </text>
    </comment>
    <comment ref="I557" authorId="2" shapeId="0" xr:uid="{BDA0423D-F99D-42DB-B12B-90B8D6E47147}">
      <text>
        <r>
          <rPr>
            <b/>
            <sz val="9"/>
            <color indexed="81"/>
            <rFont val="Tahoma"/>
            <family val="2"/>
          </rPr>
          <t>ROSA CORTES DE MONROY BARRIOS
RENUNCIA VOLUNTARIA AC 23-03-2026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558" authorId="4" shapeId="0" xr:uid="{0A4F4D61-1D15-4B1A-AAA3-54CB6958243A}">
      <text>
        <r>
          <rPr>
            <b/>
            <sz val="8"/>
            <color indexed="8"/>
            <rFont val="Aptos Narrow"/>
            <family val="2"/>
            <scheme val="minor"/>
          </rPr>
          <t xml:space="preserve">CARGO NUEVO
</t>
        </r>
      </text>
    </comment>
    <comment ref="I562" authorId="2" shapeId="0" xr:uid="{58D03144-3C1F-4DD2-BE91-946D6CCCBEB5}">
      <text>
        <r>
          <rPr>
            <b/>
            <sz val="9"/>
            <color indexed="81"/>
            <rFont val="Tahoma"/>
            <family val="2"/>
          </rPr>
          <t>Antonella Valeska Arqueros Rojas:
MARCO URQUIETA CUELLO A OFICIAL 3° JLYG ANDACOLLO AC 03-09-2025</t>
        </r>
      </text>
    </comment>
    <comment ref="I564" authorId="2" shapeId="0" xr:uid="{09BEF515-0785-4EEA-AFEF-3A7AB5CB400D}">
      <text>
        <r>
          <rPr>
            <b/>
            <sz val="9"/>
            <color indexed="81"/>
            <rFont val="Tahoma"/>
            <family val="2"/>
          </rPr>
          <t>Antonella Valeska Arqueros Rojas: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NATHALY PARADA MONTANO A RECEPTORA JUDICIAL ICA LA SERENA AC 20-08-2025</t>
        </r>
      </text>
    </comment>
    <comment ref="I566" authorId="1" shapeId="0" xr:uid="{307FB72D-3BE3-4FB2-AFEE-745376777E27}">
      <text>
        <r>
          <rPr>
            <b/>
            <sz val="10"/>
            <color indexed="81"/>
            <rFont val="Tahoma"/>
            <family val="2"/>
          </rPr>
          <t>RENUNCIA VOLUNTARIA 
PABLO CHIRINO HERRERA 
AC 01-11-2024
CAROLINA VELIZ ROJAS 
CONTRARO NO PRORROGADO 
AC 31-12-2025</t>
        </r>
      </text>
    </comment>
    <comment ref="I581" authorId="2" shapeId="0" xr:uid="{DE2983EF-39D5-4FD0-AB3D-490EB0F82506}">
      <text>
        <r>
          <rPr>
            <b/>
            <sz val="9"/>
            <color indexed="81"/>
            <rFont val="Tahoma"/>
            <family val="2"/>
          </rPr>
          <t>Antonella Valeska Arqueros Rojas: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ANGELICA ALFARO MARIN
RENUNCIA VOLUNTARIA
AC 21-11-2025</t>
        </r>
      </text>
    </comment>
    <comment ref="I583" authorId="0" shapeId="0" xr:uid="{F7C4D870-2948-4643-B27C-38B3D05C7FBC}">
      <text>
        <r>
          <rPr>
            <b/>
            <sz val="9"/>
            <color indexed="81"/>
            <rFont val="Tahoma"/>
            <family val="2"/>
          </rPr>
          <t>ROSA GODOY BARRAZA
A ADMINISTRATIVO 1°
JLYG LOS VILOS
AC 11-03-2024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584" authorId="0" shapeId="0" xr:uid="{A8F21F21-7029-4EB2-9FFE-5398538B9D20}">
      <text>
        <r>
          <rPr>
            <b/>
            <sz val="9"/>
            <color indexed="81"/>
            <rFont val="Tahoma"/>
            <family val="2"/>
          </rPr>
          <t>YELIKA BURROWS MILLA 
A ADMINISTRATIVO 3°
JF DE COQUIMBO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GIANINA ROJAS OLIVIER A OFICIAL CUARTO ICA LA SERENA AC 13-01-2025</t>
        </r>
      </text>
    </comment>
    <comment ref="I585" authorId="1" shapeId="0" xr:uid="{6703E01D-E662-4930-BC6F-A6A30F9B32B1}">
      <text>
        <r>
          <rPr>
            <b/>
            <sz val="9"/>
            <color indexed="81"/>
            <rFont val="Tahoma"/>
            <family val="2"/>
          </rPr>
          <t>Antonella Rojas Arqueros:</t>
        </r>
        <r>
          <rPr>
            <sz val="9"/>
            <color indexed="81"/>
            <rFont val="Tahoma"/>
            <family val="2"/>
          </rPr>
          <t xml:space="preserve">
RENUNCIA VOLUNTARIA PATRICIO SALINAS PAVESE  A CONTAR DEL 17-06-2024</t>
        </r>
      </text>
    </comment>
    <comment ref="I593" authorId="1" shapeId="0" xr:uid="{FFB78CA3-A270-46A3-93D3-0D3E15FD8A6A}">
      <text>
        <r>
          <rPr>
            <b/>
            <sz val="10"/>
            <color indexed="81"/>
            <rFont val="Tahoma"/>
            <family val="2"/>
          </rPr>
          <t>Antonella Rojas Arqueros:
ERIC MOLINA ÁVALOS A ADMINISRATIVO DE TESORERIA AC 03-12-2024</t>
        </r>
      </text>
    </comment>
    <comment ref="I595" authorId="0" shapeId="0" xr:uid="{4E339F87-6A2A-40BC-BEE4-89EF76911EDB}">
      <text>
        <r>
          <rPr>
            <b/>
            <sz val="9"/>
            <color indexed="81"/>
            <rFont val="Tahoma"/>
            <family val="2"/>
          </rPr>
          <t>JUAN YAÑEZ IBARRA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RENUNCIA
INCENTIVO AL RETIRO
AC 11-03-2024</t>
        </r>
      </text>
    </comment>
    <comment ref="I598" authorId="0" shapeId="0" xr:uid="{CE57CBDB-777C-4A3D-A252-7A277CA19372}">
      <text>
        <r>
          <rPr>
            <b/>
            <sz val="9"/>
            <color indexed="81"/>
            <rFont val="Tahoma"/>
            <family val="2"/>
          </rPr>
          <t>PABLO VEGA FLORES
A ADMINISTRATIVO DE ADQUISICIONES
AC 07-12-2022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601" authorId="1" shapeId="0" xr:uid="{978E2AEE-0A47-4120-B2D8-ABF4E2CF991E}">
      <text>
        <r>
          <rPr>
            <b/>
            <sz val="9"/>
            <color indexed="81"/>
            <rFont val="Tahoma"/>
            <family val="2"/>
          </rPr>
          <t>Antonella Rojas Arqueros:</t>
        </r>
        <r>
          <rPr>
            <sz val="9"/>
            <color indexed="81"/>
            <rFont val="Tahoma"/>
            <family val="2"/>
          </rPr>
          <t xml:space="preserve">
RODRIGO GONZÁLEZ LOPEZ A ADMINISTRATIVO DE CONTABILIDAD AC 02-07-2024</t>
        </r>
      </text>
    </comment>
    <comment ref="I604" authorId="0" shapeId="0" xr:uid="{C53A9B27-9813-4F0E-8F82-E01B62E82284}">
      <text>
        <r>
          <rPr>
            <b/>
            <sz val="9"/>
            <color indexed="81"/>
            <rFont val="Tahoma"/>
            <family val="2"/>
          </rPr>
          <t xml:space="preserve">ROBERT SUAREZ ROJAS
A ENCARGADO INFORMATICO
CAPJ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605" authorId="0" shapeId="0" xr:uid="{A4EB89A5-79E0-44F7-BFFB-22B201B47744}">
      <text>
        <r>
          <rPr>
            <b/>
            <sz val="9"/>
            <color indexed="81"/>
            <rFont val="Tahoma"/>
            <family val="2"/>
          </rPr>
          <t>JOSE BURGOS SALDIAS
A COORDINADOR NACIONAL
CAPJ CENTRAL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607" authorId="0" shapeId="0" xr:uid="{720EC5EA-66B5-41EE-886D-062E8A2AB339}">
      <text>
        <r>
          <rPr>
            <b/>
            <sz val="9"/>
            <color indexed="81"/>
            <rFont val="Tahoma"/>
            <family val="2"/>
          </rPr>
          <t>PATRICIO QUINTANILLA GALLARDO 
A ADMINISTRATIVO 1°
TOP LA SERENA
AC 10-04-2024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608" authorId="0" shapeId="0" xr:uid="{D7D08355-FCD0-4780-86BE-FCED81EC7BAE}">
      <text>
        <r>
          <rPr>
            <b/>
            <sz val="9"/>
            <color indexed="81"/>
            <rFont val="Tahoma"/>
            <family val="2"/>
          </rPr>
          <t>JOSE CONTRERAS BARON
REMOCION
AC 01-11-2023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610" authorId="0" shapeId="0" xr:uid="{AB3D60EB-00D3-462B-B841-F739DE03E7E5}">
      <text>
        <r>
          <rPr>
            <b/>
            <sz val="9"/>
            <color indexed="81"/>
            <rFont val="Tahoma"/>
            <family val="2"/>
          </rPr>
          <t xml:space="preserve">RICARDO FOSTER PASTEN 
RENUNCIA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612" authorId="2" shapeId="0" xr:uid="{D9915D8A-98A9-4567-B1F4-4191818F26FD}">
      <text>
        <r>
          <rPr>
            <b/>
            <sz val="9"/>
            <color indexed="81"/>
            <rFont val="Tahoma"/>
            <family val="2"/>
          </rPr>
          <t>Antonella Valeska Arqueros Rojas:</t>
        </r>
        <r>
          <rPr>
            <sz val="9"/>
            <color indexed="81"/>
            <rFont val="Tahoma"/>
            <family val="2"/>
          </rPr>
          <t xml:space="preserve">
WILSON FLORES GUAMÁN A ADMINISTRATIVO DE FINANZAS MARZO 2025</t>
        </r>
      </text>
    </comment>
    <comment ref="I613" authorId="2" shapeId="0" xr:uid="{570F413E-E7F8-4BE9-9CF9-B18D44090AD8}">
      <text>
        <r>
          <rPr>
            <b/>
            <sz val="9"/>
            <color indexed="81"/>
            <rFont val="Tahoma"/>
            <family val="2"/>
          </rPr>
          <t>Antonella Valeska Arqueros Rojas: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LORENA COLLAO FERNANDEZ
RENUNCIA VOLUNTARIA
AC 22-04-2026</t>
        </r>
      </text>
    </comment>
    <comment ref="I615" authorId="2" shapeId="0" xr:uid="{A6F9CF0C-1308-4B6F-A311-BB895167EA14}">
      <text>
        <r>
          <rPr>
            <b/>
            <sz val="9"/>
            <color indexed="81"/>
            <rFont val="Tahoma"/>
            <family val="2"/>
          </rPr>
          <t>Antonella Valeska Arqueros Rojas: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HERNA GODOY CESPEDES RENUNCIA VOLUNTARIA AC 15-01-23</t>
        </r>
      </text>
    </comment>
    <comment ref="I616" authorId="2" shapeId="0" xr:uid="{868EA210-BC44-4D46-9C01-548319EE8504}">
      <text>
        <r>
          <rPr>
            <b/>
            <sz val="9"/>
            <color indexed="81"/>
            <rFont val="Tahoma"/>
            <family val="2"/>
          </rPr>
          <t>Antonella Valeska Arqueros Rojas: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CESAR CRESPO CRUCES
RENUNCIA VOLUNTARIA 
AC 27-04-2026</t>
        </r>
      </text>
    </comment>
    <comment ref="I617" authorId="2" shapeId="0" xr:uid="{707B9378-71B9-44C3-A390-058B472370A8}">
      <text>
        <r>
          <rPr>
            <b/>
            <sz val="9"/>
            <color indexed="81"/>
            <rFont val="Tahoma"/>
            <family val="2"/>
          </rPr>
          <t>Antonella Valeska Arqueros Rojas: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MARCELO GALLEGUILLOS SALFTE CESA EN EL CARGO AC 31-12-2024</t>
        </r>
      </text>
    </comment>
    <comment ref="I623" authorId="0" shapeId="0" xr:uid="{E2A83FD3-ED8A-427B-9C83-D889389E610B}">
      <text>
        <r>
          <rPr>
            <b/>
            <sz val="9"/>
            <color indexed="81"/>
            <rFont val="Tahoma"/>
            <family val="2"/>
          </rPr>
          <t>HANS FONFACH OLIVARES A AYUDANTE DE AUDIENCIAS TOP OVALLE</t>
        </r>
      </text>
    </comment>
    <comment ref="I624" authorId="0" shapeId="0" xr:uid="{4F7349E0-EE9B-4405-9384-2CB261450969}">
      <text>
        <r>
          <rPr>
            <b/>
            <sz val="9"/>
            <color indexed="81"/>
            <rFont val="Tahoma"/>
            <family val="2"/>
          </rPr>
          <t>HANS FONFACH OLIVARES A AYUDANTE DE AUDIENCIAS TOP OVALLE</t>
        </r>
      </text>
    </comment>
  </commentList>
</comments>
</file>

<file path=xl/sharedStrings.xml><?xml version="1.0" encoding="utf-8"?>
<sst xmlns="http://schemas.openxmlformats.org/spreadsheetml/2006/main" count="8552" uniqueCount="3673">
  <si>
    <t>UNIDAD</t>
  </si>
  <si>
    <t>NOMBRE</t>
  </si>
  <si>
    <t>CORREO</t>
  </si>
  <si>
    <t>ANEXO-FONO</t>
  </si>
  <si>
    <t>CUMPLEAÑOS</t>
  </si>
  <si>
    <t>CORTE DE APELACIONES LA SERENA</t>
  </si>
  <si>
    <t>CONTACTO CORTE DE APELACIONES DE LA SERENA</t>
  </si>
  <si>
    <t>ca_laserena@pjud.cl</t>
  </si>
  <si>
    <t>51-2429200</t>
  </si>
  <si>
    <t>ATENCIÓN DE PÚBLICO</t>
  </si>
  <si>
    <t>SRA. HUGO CONTRERAS PUYO (CENTRAL)</t>
  </si>
  <si>
    <t>hacontreras@pjud.cl</t>
  </si>
  <si>
    <t>5 de julio</t>
  </si>
  <si>
    <t>PRESIDENCIA</t>
  </si>
  <si>
    <t>SRA. GLORIA NEGRONI VERA</t>
  </si>
  <si>
    <t>gnegroni@pjud.cl;gloria.negroni24@gmail.com</t>
  </si>
  <si>
    <t>29 de agosto</t>
  </si>
  <si>
    <t>MINISTROS</t>
  </si>
  <si>
    <t>SR. CHRISTIAN LE-CERF RABY</t>
  </si>
  <si>
    <t>clecerf@pjud.cl;clcpjud@gmail.com</t>
  </si>
  <si>
    <t>28 de septiembre</t>
  </si>
  <si>
    <t xml:space="preserve">SR. FELIPE PULGAR BRAVO </t>
  </si>
  <si>
    <t>fpulgar@pjud.cl;felopulgar@gmail.com</t>
  </si>
  <si>
    <t>7 de mayo</t>
  </si>
  <si>
    <t>SR. SERGIO TRONCOSO ESPINOZA</t>
  </si>
  <si>
    <t>stroncoso@pjud.cl;sergio.coquimbano@gmail.com</t>
  </si>
  <si>
    <t>3 de junio</t>
  </si>
  <si>
    <t>SR. IVÁN CORONA ALBORNOZ</t>
  </si>
  <si>
    <t>icorona@pjud.cl;icorona64@hotmail.com</t>
  </si>
  <si>
    <t>12 de mayo</t>
  </si>
  <si>
    <t>SRA. MARCELA SANDOVAL DURÁN</t>
  </si>
  <si>
    <t>masandoval@pjud.cl;masandovalduran@gmail.com</t>
  </si>
  <si>
    <t>24 de abril</t>
  </si>
  <si>
    <t>SR. JUAN CARLOS CARLOS ESPINOSA</t>
  </si>
  <si>
    <t>jcespinosa@pjud.cl</t>
  </si>
  <si>
    <t>05 de junio</t>
  </si>
  <si>
    <t>SR. RODRIGO DÍAZ FIGUEROA</t>
  </si>
  <si>
    <t>rpdiaz@pjud.cl</t>
  </si>
  <si>
    <t>OF. MINISTRO PASANTE O REEMPLAZO -VACIA-</t>
  </si>
  <si>
    <t>SECRETARIA</t>
  </si>
  <si>
    <t>SRA. ROXANA CAMUS ARGALUZA</t>
  </si>
  <si>
    <t>rcamus@pjud.cl</t>
  </si>
  <si>
    <t>15 de octubre</t>
  </si>
  <si>
    <t>ADMINISTRADORA</t>
  </si>
  <si>
    <t>SRA. MIRIAM VÉLIZ CORTÉS</t>
  </si>
  <si>
    <t>mrveliz@pjud.cl</t>
  </si>
  <si>
    <t>22 de febrero</t>
  </si>
  <si>
    <t>1°. FISCALÍA</t>
  </si>
  <si>
    <t>Correo General</t>
  </si>
  <si>
    <t>fiscaliajudicial1_calaserena@pjud.cl</t>
  </si>
  <si>
    <t>SRA. PILAR ARAVENA GÓMEZ</t>
  </si>
  <si>
    <t>paravena@pjud.cl</t>
  </si>
  <si>
    <t>15 de agosto</t>
  </si>
  <si>
    <t>SRTA. LEONILDA DÍAZ CAMPILLAY/SERGIO VASQUEZ</t>
  </si>
  <si>
    <t>lediaz@pjud.cl/svasquezg@pjud.cl</t>
  </si>
  <si>
    <t>19 de noviembre</t>
  </si>
  <si>
    <t>SRTA. CAROLINA VIDAL SANDOVAL-CBR-NOTARIAS-ARCHIVEROS</t>
  </si>
  <si>
    <t>cavidals@pjud.cl</t>
  </si>
  <si>
    <t>2°. FISCALÍA</t>
  </si>
  <si>
    <t>fiscaliajudicial2_calaserena@pjud.cl</t>
  </si>
  <si>
    <t>SR. MIGUEL MONTENEGRO ROSSI</t>
  </si>
  <si>
    <t>mmontenegro@pjud.cl; mimonross@gmail.com</t>
  </si>
  <si>
    <t>SRA. CLAUDIA LETTURA LAZO</t>
  </si>
  <si>
    <t>clettura@pjud.cl</t>
  </si>
  <si>
    <t>19 de febrero</t>
  </si>
  <si>
    <t>SRTA. LAURA CARVAJAL GONZALEZ</t>
  </si>
  <si>
    <t>lcarvajalg@pjud.cl</t>
  </si>
  <si>
    <t>17 de julio</t>
  </si>
  <si>
    <t>SALAS</t>
  </si>
  <si>
    <t>1A. SALA PRESIDENTE</t>
  </si>
  <si>
    <t>sala01_calaserena@pjud.cl</t>
  </si>
  <si>
    <t>1A. SALAS MINISTROS</t>
  </si>
  <si>
    <t>1A. SALA DIGIT.// SRTA. DIGNA KONG LAFUENTE</t>
  </si>
  <si>
    <t>dkong@pjud.cl</t>
  </si>
  <si>
    <t>27 de abril</t>
  </si>
  <si>
    <t>2A. SALA DIGITADORA</t>
  </si>
  <si>
    <t>sala02_calaserena@pjud.cl</t>
  </si>
  <si>
    <t>2A. SALA MINISTROS</t>
  </si>
  <si>
    <t>2A. SALA DIGITADORA // SRA. CLAUDIA VARGAS PERALTA</t>
  </si>
  <si>
    <t>cvargasp@pjud.cl</t>
  </si>
  <si>
    <t>10 de abril</t>
  </si>
  <si>
    <t>3A. SALA (BIBLIOTECA)</t>
  </si>
  <si>
    <t>sala03_calaserena@pjud.cl</t>
  </si>
  <si>
    <t>3A. SALA DIGIT. // SRA. CAMILA ÁLVAREZ LENOIR</t>
  </si>
  <si>
    <t>calvarezl@pjud.cl</t>
  </si>
  <si>
    <t>29 de septiembre</t>
  </si>
  <si>
    <t>SALA DE REUNIONES</t>
  </si>
  <si>
    <t>SALA DE REUNIONES (1° PISO)</t>
  </si>
  <si>
    <t>RELATORES</t>
  </si>
  <si>
    <t>SR. FELIPE VILCHES CONTRERAS</t>
  </si>
  <si>
    <t>fvilchesc@pjud.cl</t>
  </si>
  <si>
    <t>27 de diciembre</t>
  </si>
  <si>
    <t>SR. SOLEDAD SEPULVEDA FONCK</t>
  </si>
  <si>
    <t>asepulvedaf@pjud.cl</t>
  </si>
  <si>
    <t>5 de enero</t>
  </si>
  <si>
    <t>SR. EDUARDO SILVA JEREZ</t>
  </si>
  <si>
    <t>esilvaj@pjud.cl</t>
  </si>
  <si>
    <t>22 de octubre</t>
  </si>
  <si>
    <t>SR. IVÁN VIAL AGUILAR</t>
  </si>
  <si>
    <t>ivial@pjud.cl</t>
  </si>
  <si>
    <t>29 de abril</t>
  </si>
  <si>
    <t>SRA. CLAUDIA CASTRO AQUEA</t>
  </si>
  <si>
    <t>cmcastro@pjud.cl</t>
  </si>
  <si>
    <t>28 de julio</t>
  </si>
  <si>
    <t>VACANTE</t>
  </si>
  <si>
    <t>SRA. DIANA MARÍN CASTAÑEDA</t>
  </si>
  <si>
    <t>dmarin@pjud.cl</t>
  </si>
  <si>
    <t>19 de octubre</t>
  </si>
  <si>
    <t>UNIDAD DE CAUSAS Y SALAS</t>
  </si>
  <si>
    <t>Correo General Unidad</t>
  </si>
  <si>
    <t>unidadcausas_ca_laserena@pjud.cl</t>
  </si>
  <si>
    <t>SRTA. VIVIANA CARVAJAL CARVAJAL</t>
  </si>
  <si>
    <t>vncarvajal@pjud.cl</t>
  </si>
  <si>
    <t>16 de abril</t>
  </si>
  <si>
    <t>SRA. SANDRA JAURIAT MOYA</t>
  </si>
  <si>
    <t>sjauriat@pjud.cl</t>
  </si>
  <si>
    <t>31 de diciembre</t>
  </si>
  <si>
    <t>SR. ALFONSO CANALES VERA</t>
  </si>
  <si>
    <t>agcanales@pjud.cl</t>
  </si>
  <si>
    <t>24 de marzo</t>
  </si>
  <si>
    <t>SRTA. CAMILA ORTÍZ VALDIVIA</t>
  </si>
  <si>
    <t>cortizv@pjud.cl</t>
  </si>
  <si>
    <t>4 de mayo</t>
  </si>
  <si>
    <t>SRTA. GIANINA ROJAS OLIVIER</t>
  </si>
  <si>
    <t>ggrojas@pjud.cl</t>
  </si>
  <si>
    <t>2 de octubre</t>
  </si>
  <si>
    <t>SR. MANUEL ROCCO</t>
  </si>
  <si>
    <t>mrocco@pjud.cl</t>
  </si>
  <si>
    <t>13 de noviembre</t>
  </si>
  <si>
    <t>SRA. CAMILA ÁLVAREZ LENOIR</t>
  </si>
  <si>
    <t>SRA. AXELINE AGUILERA ALCAYAGA</t>
  </si>
  <si>
    <t>aaguilera@pjud.cl</t>
  </si>
  <si>
    <t>14 de diciembre</t>
  </si>
  <si>
    <t>SRTA.ALLYSON FERREIRA B.</t>
  </si>
  <si>
    <t>aferreirab@pjud.cl</t>
  </si>
  <si>
    <t>12 de octubre</t>
  </si>
  <si>
    <t>SRA. PAULA ROMERO OSSANDÓN</t>
  </si>
  <si>
    <t>promeroo@pjud.cl</t>
  </si>
  <si>
    <t>1 de mayo</t>
  </si>
  <si>
    <t>SR. MATÍAS CONTRERAS ALFARO</t>
  </si>
  <si>
    <t>mncontrerasa@pjud.cl</t>
  </si>
  <si>
    <t>27 de junio</t>
  </si>
  <si>
    <t>SR. IGNACIO ESCOBAR ALVARADO</t>
  </si>
  <si>
    <t>ifescobar@pjud.cl</t>
  </si>
  <si>
    <t>18 de julio</t>
  </si>
  <si>
    <t>OFICIAL DE SALA</t>
  </si>
  <si>
    <t>SRA. ANDREA MAUAD JULIO</t>
  </si>
  <si>
    <t>amauad@pjud.cl</t>
  </si>
  <si>
    <t>11 de agosto</t>
  </si>
  <si>
    <t>SRA. LIA FLORES VELÁSQUEZ</t>
  </si>
  <si>
    <t>lvflores@pjud.cl</t>
  </si>
  <si>
    <t>ASISTENTE PDTE.</t>
  </si>
  <si>
    <t>SR. HUGO ROTTELY ROTTELLY</t>
  </si>
  <si>
    <t>hrottelly@pjud.cl</t>
  </si>
  <si>
    <t>29 de marzo</t>
  </si>
  <si>
    <t>UNIDAD DE SERVICIOS</t>
  </si>
  <si>
    <t>SRA. SCARLETT BERRÍOS MOLINA</t>
  </si>
  <si>
    <t>sberrios@pjud.cl</t>
  </si>
  <si>
    <t>11 de enero</t>
  </si>
  <si>
    <t>SR. RICARDO PIZARRO GONZÁLEZ</t>
  </si>
  <si>
    <t>rpizarrog@pjud.cl</t>
  </si>
  <si>
    <t>24 de julio</t>
  </si>
  <si>
    <t>234 casa</t>
  </si>
  <si>
    <t>SR. GUSTAVO TALCADO VIDAL</t>
  </si>
  <si>
    <t>gtalcado@pjud.cl</t>
  </si>
  <si>
    <t>no saludar</t>
  </si>
  <si>
    <t>UNIDAD DE CONTROL DE GESTIÓN Y COORD. CON TRINUNALES DE 1A. INSTANCIA</t>
  </si>
  <si>
    <t>ucg_calaserena@pjud.cl</t>
  </si>
  <si>
    <t>SRA. MAGALY RETAMALES VENEGAS</t>
  </si>
  <si>
    <t>mretamales@pjud.cl</t>
  </si>
  <si>
    <t>13 de abril</t>
  </si>
  <si>
    <t>SR. NALDO VICENCIO TAPIA</t>
  </si>
  <si>
    <t>nvicencio@pjud.cl</t>
  </si>
  <si>
    <t>26 de junio</t>
  </si>
  <si>
    <t>SRTA. CAMILA TAPIA PASTÉN</t>
  </si>
  <si>
    <t>ctapiap@pjud.cl</t>
  </si>
  <si>
    <t>30 de agosto</t>
  </si>
  <si>
    <t>SR. HÉCTOR MARTÍNEZ JUICA</t>
  </si>
  <si>
    <t>hmartinez@pjud.cl</t>
  </si>
  <si>
    <t>2 de enero</t>
  </si>
  <si>
    <t>SRA. CHRYSLEY SANTANDER ALFARO</t>
  </si>
  <si>
    <t xml:space="preserve">crsantander@pjud.cl </t>
  </si>
  <si>
    <t>SR. JUAN CARLOS OLAVE SOTO</t>
  </si>
  <si>
    <t>jolave@pjud.cl</t>
  </si>
  <si>
    <t>BIBLIOTECA</t>
  </si>
  <si>
    <t>SRTA. OLIVIA GARCÍA LEAL</t>
  </si>
  <si>
    <t>ogarcia@pjud.cl</t>
  </si>
  <si>
    <t>9 de junio</t>
  </si>
  <si>
    <t>UNIDAD DE PLENO</t>
  </si>
  <si>
    <t>pleno_ca_laserena@pjud.cl</t>
  </si>
  <si>
    <t>SRTA. CAROLINA MARCHANT ROJAS</t>
  </si>
  <si>
    <t>cmarchant@pjud.cl</t>
  </si>
  <si>
    <t>7 de agosto</t>
  </si>
  <si>
    <t>SRTA. SONIA ARAYA CAIMANQUE</t>
  </si>
  <si>
    <t>scaimanque@pjud.cl</t>
  </si>
  <si>
    <t>17 de febrero</t>
  </si>
  <si>
    <t>SRA. ROSA ARAYA PIZARRO</t>
  </si>
  <si>
    <t>roaraya@pjud.cl</t>
  </si>
  <si>
    <t>OFICINA DERECHOS HUMANOS</t>
  </si>
  <si>
    <t>MONISTRO SR. SERGIO TRONCOSO ESPINOZA</t>
  </si>
  <si>
    <t>SRTA. JUDITH GUTIERREZ MANCILLA</t>
  </si>
  <si>
    <t>jrgutierrez@pjud.cl</t>
  </si>
  <si>
    <t>SRA. PAOLA VALENZUELA GONZALEZ</t>
  </si>
  <si>
    <t>pvalenzuelag@pjud.cl</t>
  </si>
  <si>
    <t>06 de marzo</t>
  </si>
  <si>
    <t>SR. PAOLO OLGUÍN CASTILLO</t>
  </si>
  <si>
    <t>polguinc@pjud.cl</t>
  </si>
  <si>
    <t>15 de diciembre</t>
  </si>
  <si>
    <t>SRTA. DANNIELA PIZARRO OYANEDEL</t>
  </si>
  <si>
    <t>dpizarroo@pjud.cl</t>
  </si>
  <si>
    <t>23 de octubre</t>
  </si>
  <si>
    <t>SRTA. CARLA SEPULVEDA SALAZAR</t>
  </si>
  <si>
    <t>cfsepulveda@pjud.cl</t>
  </si>
  <si>
    <t>9 de agosto</t>
  </si>
  <si>
    <t>PERIODISTAS</t>
  </si>
  <si>
    <t>SRA. MARGARETT MOLINA CHARNOCK</t>
  </si>
  <si>
    <t>mhmolina@pjud.cl</t>
  </si>
  <si>
    <t>267 / 992231237</t>
  </si>
  <si>
    <t>6 de noviembre</t>
  </si>
  <si>
    <t>SRA. PAXELIA HUERTA VILLALOBOS</t>
  </si>
  <si>
    <t>plhuerta@pjud.cl</t>
  </si>
  <si>
    <t>247 / 995022878</t>
  </si>
  <si>
    <t>23 de septiembre</t>
  </si>
  <si>
    <t>INSOLVENCIA</t>
  </si>
  <si>
    <t>SRA. ANDREA MARTINEZ ALQUINTA X M. ZUÑIGA</t>
  </si>
  <si>
    <t>apmartineza@pjud.cl; mdzuniga@pjud.cl(5 de octubre)</t>
  </si>
  <si>
    <t>9 de febrero</t>
  </si>
  <si>
    <t>SRA. PAULINA GUTIÉRREZ OBANDO</t>
  </si>
  <si>
    <t>pdgutierrez@pjud.cl</t>
  </si>
  <si>
    <t>CINJ</t>
  </si>
  <si>
    <t>SRA. ANDREA MERINO MALDONADO (112)</t>
  </si>
  <si>
    <t>almerino@pjud.cl</t>
  </si>
  <si>
    <t>51-2284802</t>
  </si>
  <si>
    <t>19 de mayo</t>
  </si>
  <si>
    <t>COCCMP</t>
  </si>
  <si>
    <t>SR.ÁLVARO MUÑOZ COLLIO (101)</t>
  </si>
  <si>
    <t>amunozc@pjud.cl</t>
  </si>
  <si>
    <t>51-2214561/51-2216991</t>
  </si>
  <si>
    <t>3 de diciembre</t>
  </si>
  <si>
    <t>GENDARMERIA</t>
  </si>
  <si>
    <t>GENDARMERÍA - Don Alexis Trujillo y Sra. Rocío Guzmán</t>
  </si>
  <si>
    <t>Sr. Alex Trujillo: 22/10 Sra. Rocio Guzman</t>
  </si>
  <si>
    <t>PORTERÍA</t>
  </si>
  <si>
    <t>GUARDIA DE SEGURIDAD (SCANER)</t>
  </si>
  <si>
    <t>ACTUALIZADO AL:</t>
  </si>
  <si>
    <t xml:space="preserve">FUNCIONARIO: </t>
  </si>
  <si>
    <t xml:space="preserve">JUAN CARLOS OLAVE </t>
  </si>
  <si>
    <t>RUT</t>
  </si>
  <si>
    <t>Nombre</t>
  </si>
  <si>
    <t>Grado</t>
  </si>
  <si>
    <t>Calidad Jurídica</t>
  </si>
  <si>
    <t>Cargo</t>
  </si>
  <si>
    <t>Correo Electrónico Institucional</t>
  </si>
  <si>
    <t>Unidad</t>
  </si>
  <si>
    <t>Observación</t>
  </si>
  <si>
    <t>12087509-4</t>
  </si>
  <si>
    <t>GLORIA ISABEL NEGRONI VERA</t>
  </si>
  <si>
    <t xml:space="preserve">03   </t>
  </si>
  <si>
    <t xml:space="preserve">TITULAR                       </t>
  </si>
  <si>
    <t xml:space="preserve">PRESIDENTE                                                  </t>
  </si>
  <si>
    <t xml:space="preserve">gnegroni@pjud.cl                        </t>
  </si>
  <si>
    <t>ICA</t>
  </si>
  <si>
    <t>13225918-6</t>
  </si>
  <si>
    <t>FELIPE ANDRÉS PULGAR BRAVO</t>
  </si>
  <si>
    <t xml:space="preserve">04   </t>
  </si>
  <si>
    <t xml:space="preserve">MINISTRO                                                    </t>
  </si>
  <si>
    <t xml:space="preserve">fpulgar@pjud.cl                         </t>
  </si>
  <si>
    <t>12516183-9</t>
  </si>
  <si>
    <t>MARCELA ANDREA SANDOVAL DURÁN</t>
  </si>
  <si>
    <t xml:space="preserve">masandoval@pjud.cl                      </t>
  </si>
  <si>
    <t>8355024-4</t>
  </si>
  <si>
    <t>CHRISTIAN MICHAEL LE-CERF RABY</t>
  </si>
  <si>
    <t xml:space="preserve">clecerf@pjud.cl                         </t>
  </si>
  <si>
    <t>8772651-7</t>
  </si>
  <si>
    <t>JUAN CARLOS ESPINOSA ROJAS</t>
  </si>
  <si>
    <t xml:space="preserve">jcespinosa@pjud.cl                      </t>
  </si>
  <si>
    <t>8121259-7</t>
  </si>
  <si>
    <t>IVÁN ROBERTO CORONA ALBORNOZ</t>
  </si>
  <si>
    <t xml:space="preserve">icorona@pjud.cl                         </t>
  </si>
  <si>
    <t>11438264-7</t>
  </si>
  <si>
    <t>SERGIO JAVIER TRONCOSO ESPINOZA</t>
  </si>
  <si>
    <t xml:space="preserve">stroncoso@pjud.cl                       </t>
  </si>
  <si>
    <t>5460632-K</t>
  </si>
  <si>
    <t>MIGUEL ANTONIO MONTENEGRO ROSSI</t>
  </si>
  <si>
    <t xml:space="preserve">FISCAL JUDICIAL                                             </t>
  </si>
  <si>
    <t xml:space="preserve">mmontenegro@pjud.cl                     </t>
  </si>
  <si>
    <t>11895049-6</t>
  </si>
  <si>
    <t>PILAR EUGENIA ARAVENA GÓMEZ</t>
  </si>
  <si>
    <t xml:space="preserve">paravena@pjud.cl                        </t>
  </si>
  <si>
    <t>10977842-7</t>
  </si>
  <si>
    <t>CRISTIAN RODRIGO ÁLVAREZ MERCADO</t>
  </si>
  <si>
    <t xml:space="preserve">SUPLENTE INTERNO              </t>
  </si>
  <si>
    <t xml:space="preserve">cralvarez@pjud.cl                       </t>
  </si>
  <si>
    <t>12619180-4</t>
  </si>
  <si>
    <t>RODRIGO PATRICIO DÍAZ FIGUEROA</t>
  </si>
  <si>
    <t xml:space="preserve">rpdiaz@pjud.cl                          </t>
  </si>
  <si>
    <t>17363523-0</t>
  </si>
  <si>
    <t>FELIPE NICOLÁS VILCHES CONTRERAS</t>
  </si>
  <si>
    <t xml:space="preserve">05   </t>
  </si>
  <si>
    <t xml:space="preserve">RELATOR                                                     </t>
  </si>
  <si>
    <t xml:space="preserve">fvilchesc@pjud.cl                       </t>
  </si>
  <si>
    <t>16356221-9</t>
  </si>
  <si>
    <t>IVÁN RODRIGO VIAL AGUILAR</t>
  </si>
  <si>
    <t xml:space="preserve">ivial@pjud.cl                           </t>
  </si>
  <si>
    <t>17083762-2</t>
  </si>
  <si>
    <t>EDUARDO IGNACIO SILVA JEREZ</t>
  </si>
  <si>
    <t xml:space="preserve">esilvaj@pjud.cl                         </t>
  </si>
  <si>
    <t>17421281-3</t>
  </si>
  <si>
    <t>CLAUDIA MACARENA CASTRO AQUEA</t>
  </si>
  <si>
    <t xml:space="preserve">cmcastro@pjud.cl                        </t>
  </si>
  <si>
    <t>8769629-4</t>
  </si>
  <si>
    <t>ROXANA CAMUS ARGALUZA</t>
  </si>
  <si>
    <t xml:space="preserve">SECRETARIO                                                  </t>
  </si>
  <si>
    <t xml:space="preserve">rcamus@pjud.cl                          </t>
  </si>
  <si>
    <t>17113860-4</t>
  </si>
  <si>
    <t>DIANA GUMERCINDA MARÍN CASTAÑEDA</t>
  </si>
  <si>
    <t xml:space="preserve">RELATOR INTERINO ANUAL        </t>
  </si>
  <si>
    <t xml:space="preserve">dmarin@pjud.cl                          </t>
  </si>
  <si>
    <t>12031592-7</t>
  </si>
  <si>
    <t>SOLEDAD MARGARITA SEPÚLVEDA FONCK</t>
  </si>
  <si>
    <t xml:space="preserve">asepulvedaf@pjud.cl                     </t>
  </si>
  <si>
    <t>9944272-7</t>
  </si>
  <si>
    <t>MIRIAM RUTH VÉLIZ CORTÉS</t>
  </si>
  <si>
    <t xml:space="preserve">07   </t>
  </si>
  <si>
    <t xml:space="preserve">CONTRATA ACTA 19              </t>
  </si>
  <si>
    <t xml:space="preserve">ADMINISTRADOR                                               </t>
  </si>
  <si>
    <t xml:space="preserve">mrveliz@pjud.cl                         </t>
  </si>
  <si>
    <t>13651825-9</t>
  </si>
  <si>
    <t>MAGALY ISABEL RETAMALES VENEGAS</t>
  </si>
  <si>
    <t xml:space="preserve">09   </t>
  </si>
  <si>
    <t xml:space="preserve">JEFE UNIDAD CONTROL DE GESTION Y COORDINACION               </t>
  </si>
  <si>
    <t xml:space="preserve">mretamales@pjud.cl                      </t>
  </si>
  <si>
    <t>10117477-8</t>
  </si>
  <si>
    <t>SANDRA DEL CARMEN JAURIAT MOYA</t>
  </si>
  <si>
    <t xml:space="preserve">JEFE DE UNIDAD DE CAUSAS Y SALA                             </t>
  </si>
  <si>
    <t xml:space="preserve">sjauriat@pjud.cl                        </t>
  </si>
  <si>
    <t>16109447-1</t>
  </si>
  <si>
    <t>VIVIANA NOEMÍ CARVAJAL CARVAJAL</t>
  </si>
  <si>
    <t xml:space="preserve">OFICIAL 1°                                                  </t>
  </si>
  <si>
    <t xml:space="preserve">vncarvajal@pjud.cl                      </t>
  </si>
  <si>
    <t>12924450-K</t>
  </si>
  <si>
    <t>MARGARETT HELEN MOLINA CHARNOCK</t>
  </si>
  <si>
    <t xml:space="preserve">11   </t>
  </si>
  <si>
    <t xml:space="preserve">CONTRATA                      </t>
  </si>
  <si>
    <t xml:space="preserve">PERIODISTA                                                  </t>
  </si>
  <si>
    <t xml:space="preserve">mhmolina@pjud.cl                        </t>
  </si>
  <si>
    <t>12444689-9</t>
  </si>
  <si>
    <t>CHRYSLEY RUDECINDA SANTANDER ALFARO</t>
  </si>
  <si>
    <t xml:space="preserve">OFICIAL 2°                                                  </t>
  </si>
  <si>
    <t xml:space="preserve">crsantander@pjud.cl                     </t>
  </si>
  <si>
    <t>10207350-9</t>
  </si>
  <si>
    <t>OLIVIA ZAHIRA TRINIDAD GARCÍA LEAL</t>
  </si>
  <si>
    <t xml:space="preserve">BIBLIOTECARIO ESTADISTICO                                   </t>
  </si>
  <si>
    <t xml:space="preserve">ogarcia@pjud.cl                         </t>
  </si>
  <si>
    <t>14117309-K</t>
  </si>
  <si>
    <t>CLAUDIA JOSEFA VARGAS PERALTA</t>
  </si>
  <si>
    <t xml:space="preserve">DIGITADOR DE SALA                                           </t>
  </si>
  <si>
    <t xml:space="preserve">cvargasp@pjud.cl                        </t>
  </si>
  <si>
    <t>13744356-2</t>
  </si>
  <si>
    <t>DIGNA LILA KONG LAFUENTE</t>
  </si>
  <si>
    <t xml:space="preserve">dkong@pjud.cl                           </t>
  </si>
  <si>
    <t>10441931-3</t>
  </si>
  <si>
    <t>ALFONSO GERARDO CANALES VERA</t>
  </si>
  <si>
    <t xml:space="preserve">agcanales@pjud.cl                       </t>
  </si>
  <si>
    <t>17721288-1</t>
  </si>
  <si>
    <t>CAMILA JACQUELINE ÁLVAREZ LENOIR</t>
  </si>
  <si>
    <t xml:space="preserve">calvarezl@pjud.cl                       </t>
  </si>
  <si>
    <t>13761912-1</t>
  </si>
  <si>
    <t>CAROLINA DE LOS ANGELES MARCHANT ROJAS</t>
  </si>
  <si>
    <t xml:space="preserve">12   </t>
  </si>
  <si>
    <t xml:space="preserve">OFICIAL 3°                                                  </t>
  </si>
  <si>
    <t xml:space="preserve">cmarchant@pjud.cl                       </t>
  </si>
  <si>
    <t>17713550-K</t>
  </si>
  <si>
    <t>PAULA FRANCISCA ROMERO OSSANDÓN</t>
  </si>
  <si>
    <t xml:space="preserve">13   </t>
  </si>
  <si>
    <t xml:space="preserve">OFICIAL 4°                                                  </t>
  </si>
  <si>
    <t xml:space="preserve">promeroo@pjud.cl                        </t>
  </si>
  <si>
    <t>19256225-2</t>
  </si>
  <si>
    <t>ALLYSON GISELLE FERREIRA BONILLA</t>
  </si>
  <si>
    <t xml:space="preserve">aferreirab@pjud.cl                      </t>
  </si>
  <si>
    <t>6263072-8</t>
  </si>
  <si>
    <t>ROSA ANGÉLICA ARAYA PIZARRO</t>
  </si>
  <si>
    <t xml:space="preserve">roaraya@pjud.cl                         </t>
  </si>
  <si>
    <t>11346011-3</t>
  </si>
  <si>
    <t>CLAUDIA ANDREA LETTURA LAZO</t>
  </si>
  <si>
    <t xml:space="preserve">OFICIAL DE FISCAL                                           </t>
  </si>
  <si>
    <t xml:space="preserve">clettura@pjud.cl                        </t>
  </si>
  <si>
    <t>6711585-6</t>
  </si>
  <si>
    <t>LEONILDA ELIZABETH DÍAZ CAMPILLAY</t>
  </si>
  <si>
    <t xml:space="preserve">lesiazcam@gmail.com                     </t>
  </si>
  <si>
    <t>18028789-2</t>
  </si>
  <si>
    <t>GIANINA GIGLIOLA MARÍA ROJAS OLIVIER</t>
  </si>
  <si>
    <t xml:space="preserve">ggrojas@pjud.cl                         </t>
  </si>
  <si>
    <t>12570532-4</t>
  </si>
  <si>
    <t>ANDREA GABRIELA MAUAD JULIO</t>
  </si>
  <si>
    <t xml:space="preserve">amauad@pjud.cl                          </t>
  </si>
  <si>
    <t>9451502-5</t>
  </si>
  <si>
    <t>HÉCTOR IVÁN MARTÍNEZ JUICA</t>
  </si>
  <si>
    <t xml:space="preserve">hmartinez@pjud.cl                       </t>
  </si>
  <si>
    <t>17277159-9</t>
  </si>
  <si>
    <t>JUDITH RAQUEL GUTIÉRREZ MANCILLA</t>
  </si>
  <si>
    <t xml:space="preserve">jrgutierrez@pjud.cl                     </t>
  </si>
  <si>
    <t>19145199-6</t>
  </si>
  <si>
    <t>CARLA FRANCISCA SEPÚLVEDA SALAZAR</t>
  </si>
  <si>
    <t xml:space="preserve">cfsepulveda@pjud.cl                     </t>
  </si>
  <si>
    <t>19257185-5</t>
  </si>
  <si>
    <t>PAOLA ALEJANDRA VALENZUELA GONZÁLEZ</t>
  </si>
  <si>
    <t xml:space="preserve">pvalenzuelag@pjud.cl                    </t>
  </si>
  <si>
    <t>18134656-6</t>
  </si>
  <si>
    <t>PAOLO ALEJANDRO OLGUÍN CASTILLO</t>
  </si>
  <si>
    <t xml:space="preserve">polguinc@pjud.cl                        </t>
  </si>
  <si>
    <t>19128626-K</t>
  </si>
  <si>
    <t>DANNIELA PAZ JEANNETTE PIZARRO OYANEDEL</t>
  </si>
  <si>
    <t xml:space="preserve">dpizarroo@pjud.cl                       </t>
  </si>
  <si>
    <t>14379056-8</t>
  </si>
  <si>
    <t>NALDO DOMERICO VICENCIO TAPIA</t>
  </si>
  <si>
    <t xml:space="preserve">ADMINISTRATIVO INFORMATICO                                  </t>
  </si>
  <si>
    <t xml:space="preserve">nvicencio@pjud.cl                       </t>
  </si>
  <si>
    <t>17113679-2</t>
  </si>
  <si>
    <t>SONIA ALEJANDRA CAIMANQUE ARAYA</t>
  </si>
  <si>
    <t xml:space="preserve">scaimanque@pjud.cl                      </t>
  </si>
  <si>
    <t>12575771-5</t>
  </si>
  <si>
    <t>SERGIO PATRICIO VÁSQUEZ GONZÁLEZ</t>
  </si>
  <si>
    <t xml:space="preserve">SUPLENTE EXTERNO              </t>
  </si>
  <si>
    <t xml:space="preserve">svasquezg@pjud.cl                       </t>
  </si>
  <si>
    <t>15870852-3</t>
  </si>
  <si>
    <t>JUAN CARLOS OLAVE SOTO</t>
  </si>
  <si>
    <t xml:space="preserve">ADMINISTRATIVO DE GESTION                                   </t>
  </si>
  <si>
    <t xml:space="preserve">jolave@pjud.cl                          </t>
  </si>
  <si>
    <t>18062446-5</t>
  </si>
  <si>
    <t>CAMILA DE JESÚS ORTIZ VALDIVIA</t>
  </si>
  <si>
    <t xml:space="preserve">CONTRATA SUPLENTE             </t>
  </si>
  <si>
    <t xml:space="preserve">cortizv@pjud.cl                         </t>
  </si>
  <si>
    <t>13177623-3</t>
  </si>
  <si>
    <t>PAXELIA LORETO HUERTA VILLALOBOS</t>
  </si>
  <si>
    <t xml:space="preserve">14   </t>
  </si>
  <si>
    <t xml:space="preserve">ADMINISTRATIVO DE COMUNICACIONES                            </t>
  </si>
  <si>
    <t xml:space="preserve">plhuerta@pjud.cl                        </t>
  </si>
  <si>
    <t>8469000-7</t>
  </si>
  <si>
    <t>LAURA DEL CARMEN CARVAJAL GONZÁLEZ</t>
  </si>
  <si>
    <t xml:space="preserve">ADMINISTRATIVO AUDITOR                                      </t>
  </si>
  <si>
    <t xml:space="preserve">lcarvajalg@pjud.cl                      </t>
  </si>
  <si>
    <t>13502128-8</t>
  </si>
  <si>
    <t>CAROLINA ALEXANDRA VIDAL SANDOVAL</t>
  </si>
  <si>
    <t xml:space="preserve">cavidals@pjud.cl                        </t>
  </si>
  <si>
    <t>18179901-3</t>
  </si>
  <si>
    <t>AXELINE YERITZA AGUILERA ALCAYAGA</t>
  </si>
  <si>
    <t xml:space="preserve">16   </t>
  </si>
  <si>
    <t xml:space="preserve">OFICIAL DE SALA                                             </t>
  </si>
  <si>
    <t xml:space="preserve">aaguilera@pjud.cl                       </t>
  </si>
  <si>
    <t>9693215-4</t>
  </si>
  <si>
    <t>HUGO ALEXIS CONTRERAS PUYO</t>
  </si>
  <si>
    <t xml:space="preserve">hacontreras@pjud.cl                     </t>
  </si>
  <si>
    <t>10402892-6</t>
  </si>
  <si>
    <t>HUGO ORLANDO ROTTELLY ROTTELLY</t>
  </si>
  <si>
    <t xml:space="preserve">OFICIAL ASISTENTE                                           </t>
  </si>
  <si>
    <t xml:space="preserve">hrottelly@pjud.cl                       </t>
  </si>
  <si>
    <t>10186440-5</t>
  </si>
  <si>
    <t>RICARDO ANTONIO PIZARRO GONZÁLEZ</t>
  </si>
  <si>
    <t xml:space="preserve">MAYORDOMO                                                   </t>
  </si>
  <si>
    <t xml:space="preserve">rpizarrog@pjud.cl                       </t>
  </si>
  <si>
    <t>11961346-9</t>
  </si>
  <si>
    <t>SCARLETT MARCELA BERRÍOS MOLINA</t>
  </si>
  <si>
    <t xml:space="preserve">sberrios@pjud.cl                        </t>
  </si>
  <si>
    <t>19154833-7</t>
  </si>
  <si>
    <t>LÍA VICTORIA FLORES VELÁSQUEZ</t>
  </si>
  <si>
    <t xml:space="preserve">lvflores@pjud.cl                        </t>
  </si>
  <si>
    <t>19041529-5</t>
  </si>
  <si>
    <t>CAMILA MICHEL TAPIA PASTÉN</t>
  </si>
  <si>
    <t xml:space="preserve">17   </t>
  </si>
  <si>
    <t xml:space="preserve">TELEFONISTA                                                 </t>
  </si>
  <si>
    <t xml:space="preserve">ctapiap@pjud.cl                         </t>
  </si>
  <si>
    <t>19758764-4</t>
  </si>
  <si>
    <t>GUSTAVO EDUARDO TALCADO VIDAL</t>
  </si>
  <si>
    <t xml:space="preserve">19   </t>
  </si>
  <si>
    <t xml:space="preserve">AUXILIAR DE ASEO                                            </t>
  </si>
  <si>
    <t xml:space="preserve">gtalcado@pjud.cl                        </t>
  </si>
  <si>
    <t>17189947-8</t>
  </si>
  <si>
    <t>IGNACIO FRANCISCO ESCOBAR ALVARADO</t>
  </si>
  <si>
    <t xml:space="preserve">ASISTENTE                                                   </t>
  </si>
  <si>
    <t xml:space="preserve">ifescobar@pjud.cl                       </t>
  </si>
  <si>
    <t>19301924-2</t>
  </si>
  <si>
    <t>MATÍAS NICOLÁS CONTRERAS ALFARO</t>
  </si>
  <si>
    <t xml:space="preserve">mncontrerasa@poderjudicial.cl           </t>
  </si>
  <si>
    <t>11735463-6</t>
  </si>
  <si>
    <t>ANDREA LORENA MERINO MALDONADO</t>
  </si>
  <si>
    <t xml:space="preserve">10   </t>
  </si>
  <si>
    <t xml:space="preserve">JEFE DE ZONA                                                </t>
  </si>
  <si>
    <t xml:space="preserve">almerino@pjud.cl                        </t>
  </si>
  <si>
    <t>17036803-7</t>
  </si>
  <si>
    <t>NICOLE LAURA MONTSERRAT MUNIZAGA RAMÍREZ</t>
  </si>
  <si>
    <t xml:space="preserve">NOTIFICADOR                                                 </t>
  </si>
  <si>
    <t xml:space="preserve">nlmunizaga@pjud.cl                      </t>
  </si>
  <si>
    <t>13180925-5</t>
  </si>
  <si>
    <t>IVONNE KAROL MELÉNDEZ MELÉNDEZ</t>
  </si>
  <si>
    <t xml:space="preserve">imelendez@pjud.cl                       </t>
  </si>
  <si>
    <t>16425153-5</t>
  </si>
  <si>
    <t>ALEX IVÁN MALDONADO DONOSO</t>
  </si>
  <si>
    <t xml:space="preserve">amaldonadod@pjud.cl                     </t>
  </si>
  <si>
    <t>20166968-5</t>
  </si>
  <si>
    <t>PATRICIO JAVIER FREDES ÁLVAREZ</t>
  </si>
  <si>
    <t xml:space="preserve">pjfredes@pjud.cl                        </t>
  </si>
  <si>
    <t>12250928-1</t>
  </si>
  <si>
    <t>LORENA DEL PILAR NAREA FARIÑAS</t>
  </si>
  <si>
    <t xml:space="preserve">lnarea@pjud.cl                          </t>
  </si>
  <si>
    <t>12581894-3</t>
  </si>
  <si>
    <t>OSVALDO RIGOBERTO HIDALGO OSSANDON</t>
  </si>
  <si>
    <t xml:space="preserve">ohidalgo@pjud.cl                        </t>
  </si>
  <si>
    <t>17625862-4</t>
  </si>
  <si>
    <t>MARÍA JOSÉ GÁLVEZ GODOY</t>
  </si>
  <si>
    <t xml:space="preserve">mgalvez@pjud.cl                         </t>
  </si>
  <si>
    <t>13462837-5</t>
  </si>
  <si>
    <t>PAOLA ANGELICA CALDERON HERMOSILLA</t>
  </si>
  <si>
    <t xml:space="preserve">pacalderonh@pjud.cl                     </t>
  </si>
  <si>
    <t>19685311-1</t>
  </si>
  <si>
    <t>ÁLVARO JAVIER TAPIA BARRAZA</t>
  </si>
  <si>
    <t xml:space="preserve">ajtapia@pjud.cl                         </t>
  </si>
  <si>
    <t>15475016-9</t>
  </si>
  <si>
    <t>ÁLVARO ANDRÉS MUÑOZ COLLÍO</t>
  </si>
  <si>
    <t xml:space="preserve">SUPERVISOR                                                  </t>
  </si>
  <si>
    <t xml:space="preserve">amunozc@pjud.cl                         </t>
  </si>
  <si>
    <t>CSMP</t>
  </si>
  <si>
    <t>17364167-2</t>
  </si>
  <si>
    <t>PÍA LORETO GÁLVEZ PÉREZ</t>
  </si>
  <si>
    <t xml:space="preserve">ADMINISTRATIVO                                              </t>
  </si>
  <si>
    <t xml:space="preserve">pgalvez@pjud.cl                         </t>
  </si>
  <si>
    <t>15068300-9</t>
  </si>
  <si>
    <t>DANIELA ALEJANDRA LATORRE CARRASCO</t>
  </si>
  <si>
    <t xml:space="preserve">dlatorre@pjud.cl                        </t>
  </si>
  <si>
    <t>18352710-K</t>
  </si>
  <si>
    <t>CLAUDIA DANIELA CORTÉS OLIVARES</t>
  </si>
  <si>
    <t xml:space="preserve">cdcorteso@pjud.cl                       </t>
  </si>
  <si>
    <t>12426012-4</t>
  </si>
  <si>
    <t>CLAUDIA JACQUELINE TORRES MOLINA</t>
  </si>
  <si>
    <t xml:space="preserve">cjtorres@pjud.cl                        </t>
  </si>
  <si>
    <t>17330400-5</t>
  </si>
  <si>
    <t>CAROLINA ANDREA TORO RIVERA</t>
  </si>
  <si>
    <t xml:space="preserve">catoro@pjud.cl                          </t>
  </si>
  <si>
    <t>17362804-8</t>
  </si>
  <si>
    <t>ELIZABETH CAMILA GUTIÉRREZ ÁLVAREZ</t>
  </si>
  <si>
    <t xml:space="preserve">egutierreza@pjud.cl                     </t>
  </si>
  <si>
    <t>17493099-6</t>
  </si>
  <si>
    <t>MARÍA TERESA SEGOVIA ARAYA</t>
  </si>
  <si>
    <t xml:space="preserve">mtsegovia@pjud.cl                       </t>
  </si>
  <si>
    <t>9893115-5</t>
  </si>
  <si>
    <t>PATRICIO RICARDO VARGAS AGUIRRE</t>
  </si>
  <si>
    <t xml:space="preserve">pvargas@pjud.cl                         </t>
  </si>
  <si>
    <t>ULE</t>
  </si>
  <si>
    <t>18535536-5</t>
  </si>
  <si>
    <t>NICOLÁS FRANCISCO CÁCERES TAHA</t>
  </si>
  <si>
    <t xml:space="preserve">ADMINISTRATIVO ABOGADO                                      </t>
  </si>
  <si>
    <t xml:space="preserve">ncacerest@pjud.cl                       </t>
  </si>
  <si>
    <t>17998471-7</t>
  </si>
  <si>
    <t>YASNA TAMARA GUTIÉRREZ GUZMÁN</t>
  </si>
  <si>
    <t xml:space="preserve">ADMINISTRATIVO CONTABLE                                     </t>
  </si>
  <si>
    <t xml:space="preserve">ygutierrezg@pjud.cl                     </t>
  </si>
  <si>
    <t>18234769-8</t>
  </si>
  <si>
    <t>NATHALY LISSETT ROJAS SILVA</t>
  </si>
  <si>
    <t xml:space="preserve">nrojass@pjud.cl                         </t>
  </si>
  <si>
    <t>13224994-6</t>
  </si>
  <si>
    <t>RITA PAOLA GONZÁLEZ GONZÁLEZ</t>
  </si>
  <si>
    <t xml:space="preserve">rpgonzalezg@pjud.cl                     </t>
  </si>
  <si>
    <t>18178617-5</t>
  </si>
  <si>
    <t>NATALIA SUSANA CAMPOS LETELIER</t>
  </si>
  <si>
    <t xml:space="preserve">ncamposl@pjud.cl                        </t>
  </si>
  <si>
    <t>16848489-5</t>
  </si>
  <si>
    <t>EMERSON FALCAO MENESES ARDILES</t>
  </si>
  <si>
    <t xml:space="preserve">efmeneses@pjud.cl                       </t>
  </si>
  <si>
    <t>17722200-3</t>
  </si>
  <si>
    <t>DANIELA PAOLA CORTÉS HONORES</t>
  </si>
  <si>
    <t xml:space="preserve">dcortesh@pjud.cl                        </t>
  </si>
  <si>
    <t>19041931-2</t>
  </si>
  <si>
    <t>KEVIN PATRICIO FLORES ADAOS</t>
  </si>
  <si>
    <t xml:space="preserve">kfloresa@pjud.cl                        </t>
  </si>
  <si>
    <t>13533613-0</t>
  </si>
  <si>
    <t>FRANCISCO ANTONIO TAPIA MARZAL</t>
  </si>
  <si>
    <t xml:space="preserve">fatapia@pjud.cl                         </t>
  </si>
  <si>
    <t>13762227-0</t>
  </si>
  <si>
    <t>ALEXIS FABIÁN PÉREZ CORTÉS</t>
  </si>
  <si>
    <t xml:space="preserve">aperezc@pjud.cl                         </t>
  </si>
  <si>
    <t>17187261-8</t>
  </si>
  <si>
    <t>MARÍA DANIELA ZÚÑIGA URBINA</t>
  </si>
  <si>
    <t xml:space="preserve">ADMINISTRATIVO DE ACTAS                                     </t>
  </si>
  <si>
    <t xml:space="preserve">mdzuniga@pjud.cl                        </t>
  </si>
  <si>
    <t>18170303-2</t>
  </si>
  <si>
    <t>PAULINA DENISSE GUTIÉRREZ OBANDO</t>
  </si>
  <si>
    <t xml:space="preserve">pdgutierrez@pjud.cl                     </t>
  </si>
  <si>
    <t>14172182-8</t>
  </si>
  <si>
    <t>ANDREA PRISCILLA MARTÍNEZ ALQUINTA</t>
  </si>
  <si>
    <t xml:space="preserve">apmartineza@pjud.cl                     </t>
  </si>
  <si>
    <t>Rut</t>
  </si>
  <si>
    <t>Ap.Paterno</t>
  </si>
  <si>
    <t>Ap.Materno</t>
  </si>
  <si>
    <t>Nombres</t>
  </si>
  <si>
    <t xml:space="preserve">Correo Electronico </t>
  </si>
  <si>
    <t>Tribunal</t>
  </si>
  <si>
    <t>Estado</t>
  </si>
  <si>
    <t>Calidad Juridica</t>
  </si>
  <si>
    <t>OBSERVACIONES</t>
  </si>
  <si>
    <t>NOMBRE SUPLENTE</t>
  </si>
  <si>
    <t>CALIDAD JURIDICA</t>
  </si>
  <si>
    <t>FECHA INICIO</t>
  </si>
  <si>
    <t>FECHA TERMINO</t>
  </si>
  <si>
    <t>N° DIAS</t>
  </si>
  <si>
    <t>MAIL</t>
  </si>
  <si>
    <t>TRIBUNALES</t>
  </si>
  <si>
    <t>12838879-6</t>
  </si>
  <si>
    <t>ACEVEDO</t>
  </si>
  <si>
    <t>AGUILERA</t>
  </si>
  <si>
    <t>RICARDO ALEJANDRO</t>
  </si>
  <si>
    <t>RICARDO ACEVEDO AGUILERA</t>
  </si>
  <si>
    <t>racevedo@pjud.cl</t>
  </si>
  <si>
    <t xml:space="preserve">Administrador </t>
  </si>
  <si>
    <t>JUZGADO FAMILIA COQUIMBO</t>
  </si>
  <si>
    <t>Vigente</t>
  </si>
  <si>
    <t>Titular</t>
  </si>
  <si>
    <t>15041971-9</t>
  </si>
  <si>
    <t>ACUÑA</t>
  </si>
  <si>
    <t>ORDENES</t>
  </si>
  <si>
    <t>FRANCISCO MANUEL</t>
  </si>
  <si>
    <t>FRANCISCO ACUÑA ORDENES</t>
  </si>
  <si>
    <t>facuna@pjud.cl</t>
  </si>
  <si>
    <t>Jefe de Unidad</t>
  </si>
  <si>
    <t>TRIBUNAL DE JUICIO ORAL EN LO PENAL DE OVALLE</t>
  </si>
  <si>
    <t>13402272-8</t>
  </si>
  <si>
    <t>ADRIASOLA</t>
  </si>
  <si>
    <t>CHACON</t>
  </si>
  <si>
    <t>SILVIA ALEJANDRA</t>
  </si>
  <si>
    <t>SILVIA ADRIASOLA CHACON</t>
  </si>
  <si>
    <t>sadriasola@pjud.cl</t>
  </si>
  <si>
    <t>Administrativo 2°</t>
  </si>
  <si>
    <t>JUZGADO DE LETRAS DEL TRABAJO DE LA SERENA</t>
  </si>
  <si>
    <t>9551166-K</t>
  </si>
  <si>
    <t>RODRIGUEZ</t>
  </si>
  <si>
    <t>MAXIMO PEDRO ANDRES</t>
  </si>
  <si>
    <t>MAXIMO ADRIASOLA RODRIGUEZ</t>
  </si>
  <si>
    <t>madriasola@pjud.cl</t>
  </si>
  <si>
    <t>JUZGADO GARANTIA DE LA SERENA</t>
  </si>
  <si>
    <t>ALCAYAGA</t>
  </si>
  <si>
    <t>AXELINE YERITZA</t>
  </si>
  <si>
    <t>AXELINE AGUILERA ALCAYAGA</t>
  </si>
  <si>
    <t>Oficial Cuarto</t>
  </si>
  <si>
    <t>1° JUZGADO DE LETRAS DE OVALLE</t>
  </si>
  <si>
    <t>Contrata</t>
  </si>
  <si>
    <t>12426982-2</t>
  </si>
  <si>
    <t>GALLARDO</t>
  </si>
  <si>
    <t>PAOLA ALEJANDRA</t>
  </si>
  <si>
    <t>PAOLA AGUILERA GALLARDO</t>
  </si>
  <si>
    <t>paguilera@pjud.cl</t>
  </si>
  <si>
    <t>Administrativo 1°</t>
  </si>
  <si>
    <t>JUZGADO GARANTIA DE OVALLE</t>
  </si>
  <si>
    <t>12494949-1</t>
  </si>
  <si>
    <t>TAPIA</t>
  </si>
  <si>
    <t>MAURICIO ALEJANDRO</t>
  </si>
  <si>
    <t>MAURICIO AGUILERA TAPIA</t>
  </si>
  <si>
    <t>maguilerat@pjud.cl</t>
  </si>
  <si>
    <t>Oficial Primero</t>
  </si>
  <si>
    <t>2º JUZGADO DE LETRAS DE OVALLE</t>
  </si>
  <si>
    <t>11421992-4</t>
  </si>
  <si>
    <t>AGUIRRE</t>
  </si>
  <si>
    <t>DONDERS</t>
  </si>
  <si>
    <t>CECILIA LUCRECIA</t>
  </si>
  <si>
    <t>CECILIA AGUIRRE DONDERS</t>
  </si>
  <si>
    <t>caguirre@pjud.cl</t>
  </si>
  <si>
    <t>JUZGADO GARANTIA DE COQUIMBO</t>
  </si>
  <si>
    <t>9294846-3</t>
  </si>
  <si>
    <t>MANUEL CRISTIAN HUGO</t>
  </si>
  <si>
    <t>MANUEL AGUIRRE AGUIRRE</t>
  </si>
  <si>
    <t>mcaguirre@pjud.cl</t>
  </si>
  <si>
    <t>JUZGADO FAMILIA DE OVALLE</t>
  </si>
  <si>
    <t>9433888-3</t>
  </si>
  <si>
    <t xml:space="preserve">AHUMADA </t>
  </si>
  <si>
    <t>CANABES</t>
  </si>
  <si>
    <t>ENRIQUE ALFONSO</t>
  </si>
  <si>
    <t>ENRIQUE AHUMADA  CANABES</t>
  </si>
  <si>
    <t>eaahumada@pjud.cl</t>
  </si>
  <si>
    <t>JUZGADO DE LETRAS DE ILLAPEL</t>
  </si>
  <si>
    <t>15596225-9</t>
  </si>
  <si>
    <t>AHUMADA</t>
  </si>
  <si>
    <t>ZEPEDA</t>
  </si>
  <si>
    <t>CAROL NATALIA</t>
  </si>
  <si>
    <t>CAROL AHUMADA ZEPEDA</t>
  </si>
  <si>
    <t>cnahumada@pjud.cl</t>
  </si>
  <si>
    <t>Administrativo 3°</t>
  </si>
  <si>
    <t>JUZGADO DE LETRAS VICUÑA</t>
  </si>
  <si>
    <t>12572635-6</t>
  </si>
  <si>
    <t>ALBURQUENQUE</t>
  </si>
  <si>
    <t>DIAZ</t>
  </si>
  <si>
    <t>ALEJANDRA FILOMENA</t>
  </si>
  <si>
    <t>ALEJANDRA ALBURQUENQUE DIAZ</t>
  </si>
  <si>
    <t>aalburquenque@pjud.cl</t>
  </si>
  <si>
    <t>11941475-K</t>
  </si>
  <si>
    <t>ALFARO</t>
  </si>
  <si>
    <t>SALDIVAR</t>
  </si>
  <si>
    <t xml:space="preserve">MARISOL </t>
  </si>
  <si>
    <t>MARISOL ALFARO SALDIVAR</t>
  </si>
  <si>
    <t>malfaros@pjud.cl</t>
  </si>
  <si>
    <t>JUZGADO DE LETRAS Y GARANTIA DE LOS VILOS</t>
  </si>
  <si>
    <t>7357175-8</t>
  </si>
  <si>
    <t>CORTES</t>
  </si>
  <si>
    <t>ANA MARCELA</t>
  </si>
  <si>
    <t>ANA ALFARO CORTES</t>
  </si>
  <si>
    <t>aalfaro@pjud.cl</t>
  </si>
  <si>
    <t>Juez</t>
  </si>
  <si>
    <t>TRIBUNAL DE JUICIO ORAL EN LO PENAL DE LA SERENA</t>
  </si>
  <si>
    <t>15056234-1</t>
  </si>
  <si>
    <t>ULLOA</t>
  </si>
  <si>
    <t>VIVIANA DEL PILAR</t>
  </si>
  <si>
    <t>VIVIANA ALFARO ULLOA</t>
  </si>
  <si>
    <t>valfarou@pjud.cl</t>
  </si>
  <si>
    <t>8597775-K</t>
  </si>
  <si>
    <t>LOPEZ</t>
  </si>
  <si>
    <t>KAREN ANDREA</t>
  </si>
  <si>
    <t>KAREN ALFARO LOPEZ</t>
  </si>
  <si>
    <t>kalfaro@pjud.cl</t>
  </si>
  <si>
    <t>17624632-4</t>
  </si>
  <si>
    <t>ROJAS</t>
  </si>
  <si>
    <t>MARIA ISABEL</t>
  </si>
  <si>
    <t>MARIA ALFARO ROJAS</t>
  </si>
  <si>
    <t>malfaror@pjud.cl</t>
  </si>
  <si>
    <t>Oficial Tercero</t>
  </si>
  <si>
    <t>3° JUZGADO DE LETRAS DE LA SERENA</t>
  </si>
  <si>
    <t>17194164-4</t>
  </si>
  <si>
    <t>ALVARADO</t>
  </si>
  <si>
    <t>ANA CAROLINA</t>
  </si>
  <si>
    <t>ANA ALVARADO LOPEZ</t>
  </si>
  <si>
    <t>aalvarado@pjud.cl</t>
  </si>
  <si>
    <t>Coordinador de Tribunal</t>
  </si>
  <si>
    <t>1° JUZGADO DE LETRAS DE LA SERENA</t>
  </si>
  <si>
    <t>13864561-4</t>
  </si>
  <si>
    <t>ROSAS</t>
  </si>
  <si>
    <t>MARIA EUGENIA</t>
  </si>
  <si>
    <t>MARIA ALVARADO ROSAS</t>
  </si>
  <si>
    <t>malvarador@pjud.cl</t>
  </si>
  <si>
    <t>Oficial de Sala</t>
  </si>
  <si>
    <t>JUZGADO DE LETRAS DE ANDACOLLO</t>
  </si>
  <si>
    <t>11347432-7</t>
  </si>
  <si>
    <t>VALLEJOS</t>
  </si>
  <si>
    <t>ELY ANGELICA</t>
  </si>
  <si>
    <t>ELY ALVARADO VALLEJOS</t>
  </si>
  <si>
    <t>ealvarado@pjud.cl</t>
  </si>
  <si>
    <t>12154921-2</t>
  </si>
  <si>
    <t>ALVAREZ</t>
  </si>
  <si>
    <t>JUANA ELIZABETH</t>
  </si>
  <si>
    <t>JUANA ALVAREZ AGUILERA</t>
  </si>
  <si>
    <t>jealvarez@pjud.cl</t>
  </si>
  <si>
    <t>11471329-5</t>
  </si>
  <si>
    <t>CALDERON</t>
  </si>
  <si>
    <t>DORIS CLAUDIA</t>
  </si>
  <si>
    <t>DORIS ALVAREZ CALDERON</t>
  </si>
  <si>
    <t>dalvarezc@pjud.cl</t>
  </si>
  <si>
    <t>JUZGADO FAMILIA LA SERENA</t>
  </si>
  <si>
    <t>13179381-2</t>
  </si>
  <si>
    <t>CORRAL</t>
  </si>
  <si>
    <t>MACARENA DEL PILAR</t>
  </si>
  <si>
    <t>MACARENA ALVAREZ CORRAL</t>
  </si>
  <si>
    <t>malvarezc@pjud.cl</t>
  </si>
  <si>
    <t>Encargado de Sala</t>
  </si>
  <si>
    <t>16060168-K</t>
  </si>
  <si>
    <t>EVELYN DAMARIS</t>
  </si>
  <si>
    <t>EVELYN ALVAREZ CORTES</t>
  </si>
  <si>
    <t>edalvarez@pjud.cl</t>
  </si>
  <si>
    <t>Auxiliar Administrativo</t>
  </si>
  <si>
    <t>JUZGADO GARANTIA DE ILLAPEL</t>
  </si>
  <si>
    <t>14117647-1</t>
  </si>
  <si>
    <t>CLAUDIA ALEJANDRA</t>
  </si>
  <si>
    <t>CLAUDIA ALVAREZ DIAZ</t>
  </si>
  <si>
    <t>caalvarez@pjud.cl</t>
  </si>
  <si>
    <t>Secretaria Ejecutiva</t>
  </si>
  <si>
    <t>13178367-1</t>
  </si>
  <si>
    <t>HENRIQUEZ</t>
  </si>
  <si>
    <t>MARIA VICTORIA</t>
  </si>
  <si>
    <t>MARIA ALVAREZ HENRIQUEZ</t>
  </si>
  <si>
    <t>malvarezh@pjud.cl</t>
  </si>
  <si>
    <t>Digitador Administrativo</t>
  </si>
  <si>
    <t>LENOIR</t>
  </si>
  <si>
    <t>CAMILA JACQUELINE</t>
  </si>
  <si>
    <t>CAMILA ALVAREZ LENOIR</t>
  </si>
  <si>
    <t>CORTE DE APELACIONES DE LA SERENA</t>
  </si>
  <si>
    <t>MERCADO</t>
  </si>
  <si>
    <t>CRISTIAN RODRIGO</t>
  </si>
  <si>
    <t>CRISTIAN ALVAREZ MERCADO</t>
  </si>
  <si>
    <t>cralvarez@pjud.cl</t>
  </si>
  <si>
    <t>10451205-4</t>
  </si>
  <si>
    <t>MORALEDA</t>
  </si>
  <si>
    <t>RICARDO ENRIQUE</t>
  </si>
  <si>
    <t>RICARDO ALVAREZ MORALEDA</t>
  </si>
  <si>
    <t>ralvarez@pjud.cl</t>
  </si>
  <si>
    <t>11508458-5</t>
  </si>
  <si>
    <t>RIVEROS</t>
  </si>
  <si>
    <t>SANDRA PAOLA</t>
  </si>
  <si>
    <t>SANDRA ALVAREZ RIVEROS</t>
  </si>
  <si>
    <t>salvarez@pjud.cl</t>
  </si>
  <si>
    <t>10396493-8</t>
  </si>
  <si>
    <t>AQUEA</t>
  </si>
  <si>
    <t>VEGA</t>
  </si>
  <si>
    <t>ELIZABETH IVONNE</t>
  </si>
  <si>
    <t>ELIZABETH AQUEA VEGA</t>
  </si>
  <si>
    <t>eaquea@pjud.cl</t>
  </si>
  <si>
    <t>Consejero Tecnico</t>
  </si>
  <si>
    <t>13329460-0</t>
  </si>
  <si>
    <t>ARACENA</t>
  </si>
  <si>
    <t>GUERRA</t>
  </si>
  <si>
    <t>CAROLA SOLEDAD</t>
  </si>
  <si>
    <t>CAROLA ARACENA GUERRA</t>
  </si>
  <si>
    <t>caracena@pjud.cl</t>
  </si>
  <si>
    <t>16244252-k</t>
  </si>
  <si>
    <t>ARANCIBIA</t>
  </si>
  <si>
    <t>CARRASCO</t>
  </si>
  <si>
    <t>VIVIANA ANDREA</t>
  </si>
  <si>
    <t>VIVIANA ARANCIBIA CARRASCO</t>
  </si>
  <si>
    <t>varancibiac@pjud.cl</t>
  </si>
  <si>
    <t>Ayudante de Audiencia</t>
  </si>
  <si>
    <t>JUZGADO GARANTIA VICUÑA</t>
  </si>
  <si>
    <t>14399812-6</t>
  </si>
  <si>
    <t>FLORES</t>
  </si>
  <si>
    <t>PAZ ALEJANDRA</t>
  </si>
  <si>
    <t>PAZ ARANCIBIA FLORES</t>
  </si>
  <si>
    <t>parancibia@pjud.cl</t>
  </si>
  <si>
    <t>15596175-9</t>
  </si>
  <si>
    <t>ARANDA</t>
  </si>
  <si>
    <t>ZAMBRA</t>
  </si>
  <si>
    <t>MONICA ALEJANDRA</t>
  </si>
  <si>
    <t>MONICA ARANDA ZAMBRA</t>
  </si>
  <si>
    <t>maaranda@pjud.cl</t>
  </si>
  <si>
    <t>2º JUZGADO DE LETRAS DE COQUIMBO</t>
  </si>
  <si>
    <t>ARAVENA</t>
  </si>
  <si>
    <t>GOMEZ</t>
  </si>
  <si>
    <t>PILAR EUGENIA</t>
  </si>
  <si>
    <t>PILAR ARAVENA GOMEZ</t>
  </si>
  <si>
    <t>Fiscal Judicial</t>
  </si>
  <si>
    <t>11422783-8</t>
  </si>
  <si>
    <t>ARAYA</t>
  </si>
  <si>
    <t>ALEXANDRA ENRIQUETA</t>
  </si>
  <si>
    <t>ALEXANDRA ARAYA ROJAS</t>
  </si>
  <si>
    <t>aaraya@pjud.cl</t>
  </si>
  <si>
    <t>3° JUZGADO LETRAS DE OVALLE</t>
  </si>
  <si>
    <t>12570364-K</t>
  </si>
  <si>
    <t>BONILLA</t>
  </si>
  <si>
    <t>YOHANA PATRICIA</t>
  </si>
  <si>
    <t>YOHANA ARAYA BONILLA</t>
  </si>
  <si>
    <t>yparaya@pjud.cl</t>
  </si>
  <si>
    <t>17212791-6</t>
  </si>
  <si>
    <t>CARO</t>
  </si>
  <si>
    <t>FRANCISCA NINON</t>
  </si>
  <si>
    <t>FRANCISCA ARAYA CARO</t>
  </si>
  <si>
    <t>fnaraya@pjud.cl</t>
  </si>
  <si>
    <t>15573930-4</t>
  </si>
  <si>
    <t>VERGARA</t>
  </si>
  <si>
    <t>VALERIA MARJORIE</t>
  </si>
  <si>
    <t>VALERIA ARAYA VERGARA</t>
  </si>
  <si>
    <t>vmaraya@pjud.cl</t>
  </si>
  <si>
    <t>PIZARRO</t>
  </si>
  <si>
    <t>ROSA ANGELICA</t>
  </si>
  <si>
    <t>ROSA ARAYA PIZARRO</t>
  </si>
  <si>
    <t>12620632-1</t>
  </si>
  <si>
    <t>AREYUNA</t>
  </si>
  <si>
    <t>BOLADOS</t>
  </si>
  <si>
    <t>NEYLA FABIOLA</t>
  </si>
  <si>
    <t>NEYLA AREYUNA BOLADOS</t>
  </si>
  <si>
    <t>nareyuna@pjud.cl</t>
  </si>
  <si>
    <t>Auxiliar</t>
  </si>
  <si>
    <t>13074340-4</t>
  </si>
  <si>
    <t>ARIAS</t>
  </si>
  <si>
    <t>BRICEÑO</t>
  </si>
  <si>
    <t>MONICA PAOLA DE LOURDES</t>
  </si>
  <si>
    <t>MONICA ARIAS BRICEÑO</t>
  </si>
  <si>
    <t>mparias@pjud.cl</t>
  </si>
  <si>
    <t>11652014-1</t>
  </si>
  <si>
    <t>ARRIAGADA</t>
  </si>
  <si>
    <t>CARACHI</t>
  </si>
  <si>
    <t>DAISY DEL CARMEN</t>
  </si>
  <si>
    <t>DAISY ARRIAGADA CARACHI</t>
  </si>
  <si>
    <t>darriagada@pjud.cl</t>
  </si>
  <si>
    <t>9696715-2</t>
  </si>
  <si>
    <t>ASTRAIN</t>
  </si>
  <si>
    <t>SUAREZ</t>
  </si>
  <si>
    <t>PAZ MARIA</t>
  </si>
  <si>
    <t>PAZ ASTRAIN SUAREZ</t>
  </si>
  <si>
    <t>pastrain@pjud.cl</t>
  </si>
  <si>
    <t>12598543-2</t>
  </si>
  <si>
    <t>ASTUDILLO</t>
  </si>
  <si>
    <t>JORQUERA</t>
  </si>
  <si>
    <t>ESTELA BEATRIZ</t>
  </si>
  <si>
    <t>ESTELA ASTUDILLO JORQUERA</t>
  </si>
  <si>
    <t>eastudillo@pjud.cl</t>
  </si>
  <si>
    <t>15012681-9</t>
  </si>
  <si>
    <t>MORALES</t>
  </si>
  <si>
    <t>GUILLERMO SALOMON</t>
  </si>
  <si>
    <t>GUILLERMO ASTUDILLO MORALES</t>
  </si>
  <si>
    <t>gsastudillo@pjud.cl</t>
  </si>
  <si>
    <t>12446989-9</t>
  </si>
  <si>
    <t>SIERRA</t>
  </si>
  <si>
    <t>BEATRIZ LORETO</t>
  </si>
  <si>
    <t>BEATRIZ ASTUDILLO SIERRA</t>
  </si>
  <si>
    <t>bastudillo@pjud.cl</t>
  </si>
  <si>
    <t>10630380-0</t>
  </si>
  <si>
    <t>AYALA</t>
  </si>
  <si>
    <t>OYANEDEL</t>
  </si>
  <si>
    <t>CLAUDIO MARCELO</t>
  </si>
  <si>
    <t>CLAUDIO AYALA OYANEDEL</t>
  </si>
  <si>
    <t>cayala@pjud.cl</t>
  </si>
  <si>
    <t>13424913-7</t>
  </si>
  <si>
    <t>BARAHONA</t>
  </si>
  <si>
    <t>JERALDO</t>
  </si>
  <si>
    <t>SILVANA ESTER</t>
  </si>
  <si>
    <t>SILVANA BARAHONA JERALDO</t>
  </si>
  <si>
    <t>sbarahona@pjud.cl</t>
  </si>
  <si>
    <t>13180872-0</t>
  </si>
  <si>
    <t>BARLETTA</t>
  </si>
  <si>
    <t>MARIBEL ELIANA</t>
  </si>
  <si>
    <t>MARIBEL BARLETTA GALLARDO</t>
  </si>
  <si>
    <t>mbarletta@pjud.cl</t>
  </si>
  <si>
    <t>Ayudante de Servicios</t>
  </si>
  <si>
    <t>10931884-1</t>
  </si>
  <si>
    <t>BARONCINI</t>
  </si>
  <si>
    <t>GALVEZ</t>
  </si>
  <si>
    <t>CAROLINA ANDREA</t>
  </si>
  <si>
    <t>CAROLINA BARONCINI GALVEZ</t>
  </si>
  <si>
    <t>cbaroncini@pjud.cl</t>
  </si>
  <si>
    <t>15674556-1</t>
  </si>
  <si>
    <t>BARRAZA</t>
  </si>
  <si>
    <t>CECILIA ALEXANDRA</t>
  </si>
  <si>
    <t>CECILIA BARRAZA ALFARO</t>
  </si>
  <si>
    <t>cbarraza@pjud.cl</t>
  </si>
  <si>
    <t>Administrativo Contable</t>
  </si>
  <si>
    <t>9638342-8</t>
  </si>
  <si>
    <t>HUGO SEGUNDO</t>
  </si>
  <si>
    <t>HUGO BARRAZA DIAZ</t>
  </si>
  <si>
    <t>hbarraza@pjud.cl</t>
  </si>
  <si>
    <t>10438202-9</t>
  </si>
  <si>
    <t>BARRIOS</t>
  </si>
  <si>
    <t>AROS</t>
  </si>
  <si>
    <t>VICTOR HUGO</t>
  </si>
  <si>
    <t>VICTOR BARRIOS AROS</t>
  </si>
  <si>
    <t>vbarrios@pjud.cl</t>
  </si>
  <si>
    <t>8273312-4</t>
  </si>
  <si>
    <t>RIQUELME</t>
  </si>
  <si>
    <t>ERICK ENRIQUE</t>
  </si>
  <si>
    <t>ERICK BARRIOS RIQUELME</t>
  </si>
  <si>
    <t>ebarrios@pjud.cl</t>
  </si>
  <si>
    <t>15905302-4</t>
  </si>
  <si>
    <t>BARRUETO</t>
  </si>
  <si>
    <t>CAROLINA BARRUETO LOPEZ</t>
  </si>
  <si>
    <t>cbarrueto@pjud.cl</t>
  </si>
  <si>
    <t>18003275-4</t>
  </si>
  <si>
    <t>BERMEJO</t>
  </si>
  <si>
    <t>AGÜERO</t>
  </si>
  <si>
    <t>MACKARENA NICOLE</t>
  </si>
  <si>
    <t>MACKARENA BERMEJO AGÜERO</t>
  </si>
  <si>
    <t>mbermejo@pjud.cl</t>
  </si>
  <si>
    <t>BERRIOS</t>
  </si>
  <si>
    <t>MOLINA</t>
  </si>
  <si>
    <t>SCARLETT MARCELA</t>
  </si>
  <si>
    <t>SCARLETT BERRIOS MOLINA</t>
  </si>
  <si>
    <t>10672004-5</t>
  </si>
  <si>
    <t>BITTENCOURT</t>
  </si>
  <si>
    <t>CAMPUSANO</t>
  </si>
  <si>
    <t>CAROLINA DEL CARMEN</t>
  </si>
  <si>
    <t>CAROLINA BITTENCOURT CAMPUSANO</t>
  </si>
  <si>
    <t>cbittencourt@pjud.cl</t>
  </si>
  <si>
    <t>13718808-2</t>
  </si>
  <si>
    <t>BLANCO</t>
  </si>
  <si>
    <t>GUZMAN</t>
  </si>
  <si>
    <t>SAMANTHA INGRID</t>
  </si>
  <si>
    <t>SAMANTHA BLANCO GUZMAN</t>
  </si>
  <si>
    <t>sblanco@pjud.cl</t>
  </si>
  <si>
    <t>12837653-4</t>
  </si>
  <si>
    <t>BOGDANIC</t>
  </si>
  <si>
    <t>MARTINEZ</t>
  </si>
  <si>
    <t>JELIZA ROSSANA</t>
  </si>
  <si>
    <t>JELIZA BOGDANIC MARTINEZ</t>
  </si>
  <si>
    <t>jbogdanic@pjud.cl</t>
  </si>
  <si>
    <t>15594267-3</t>
  </si>
  <si>
    <t>BORQUEZ</t>
  </si>
  <si>
    <t>RIVERA</t>
  </si>
  <si>
    <t>PATRICIA LORETO</t>
  </si>
  <si>
    <t>PATRICIA BORQUEZ RIVERA</t>
  </si>
  <si>
    <t>plborquez@pjud.cl</t>
  </si>
  <si>
    <t>16563498-5</t>
  </si>
  <si>
    <t>BRAVO</t>
  </si>
  <si>
    <t>MARTINEAU</t>
  </si>
  <si>
    <t>CARLOS FRANCISCO</t>
  </si>
  <si>
    <t>CARLOS BRAVO MARTINEAU</t>
  </si>
  <si>
    <t>cbravom@pjud.cl</t>
  </si>
  <si>
    <t>18633039-0</t>
  </si>
  <si>
    <t>MOYA</t>
  </si>
  <si>
    <t>BEATRIZ FERNANDA</t>
  </si>
  <si>
    <t>BEATRIZ BRAVO MOYA</t>
  </si>
  <si>
    <t>bbravo@pjud.cl</t>
  </si>
  <si>
    <t>12803942-2</t>
  </si>
  <si>
    <t>ARTURO ORLANDO</t>
  </si>
  <si>
    <t>ARTURO BRICEÑO CATALAN</t>
  </si>
  <si>
    <t>abriceno@pjud.cl</t>
  </si>
  <si>
    <t>18689468-5</t>
  </si>
  <si>
    <t>BUGUEÑO</t>
  </si>
  <si>
    <t>ALEX JOAQUÍN</t>
  </si>
  <si>
    <t>ALEX BUGUEÑO ARAYA</t>
  </si>
  <si>
    <t xml:space="preserve">ajbugueno@pjud.cl
</t>
  </si>
  <si>
    <t>13749551-1</t>
  </si>
  <si>
    <t>CONTRERAS</t>
  </si>
  <si>
    <t>XIMENA ROXANA</t>
  </si>
  <si>
    <t>XIMENA BUGUEÑO CONTRERAS</t>
  </si>
  <si>
    <t>xbugueno@pjud.cl</t>
  </si>
  <si>
    <t>17965071-1</t>
  </si>
  <si>
    <t>BURROWS</t>
  </si>
  <si>
    <t>MILLA</t>
  </si>
  <si>
    <t>YELIKA</t>
  </si>
  <si>
    <t>YELIKA BURROWS MILLA</t>
  </si>
  <si>
    <t>yburrows@pjud.cl</t>
  </si>
  <si>
    <t>18188629-3</t>
  </si>
  <si>
    <t>BUSTOS</t>
  </si>
  <si>
    <t>CARVAJAL</t>
  </si>
  <si>
    <t>PAULINA MARLENE</t>
  </si>
  <si>
    <t>PAULINA BUSTOS CARVAJAL</t>
  </si>
  <si>
    <t>pbustosc@pjud.cl</t>
  </si>
  <si>
    <t>12882992-K</t>
  </si>
  <si>
    <t>ORTIZ</t>
  </si>
  <si>
    <t>RUBEN JOSE</t>
  </si>
  <si>
    <t>RUBEN BUSTOS ORTIZ</t>
  </si>
  <si>
    <t>rjbustos@pjud.cl</t>
  </si>
  <si>
    <t>7967967-4</t>
  </si>
  <si>
    <t>CABRERA</t>
  </si>
  <si>
    <t xml:space="preserve">ERIKA MERSABET </t>
  </si>
  <si>
    <t>ERIKA CABRERA RIVERA</t>
  </si>
  <si>
    <t>ecabrera@pjud.cl</t>
  </si>
  <si>
    <t>Administrativo Jefe</t>
  </si>
  <si>
    <t>8926241-0</t>
  </si>
  <si>
    <t>CASTILLO</t>
  </si>
  <si>
    <t>RAMON ERNESTO</t>
  </si>
  <si>
    <t>RAMON CABRERA CASTILLO</t>
  </si>
  <si>
    <t>rcabrera@pjud.cl</t>
  </si>
  <si>
    <t>Oficial Segundo</t>
  </si>
  <si>
    <t>2º JUZGADO DE LETRAS DE LA SERENA</t>
  </si>
  <si>
    <t>16878513-5</t>
  </si>
  <si>
    <t>GUAJARDO</t>
  </si>
  <si>
    <t>ROMINA NATALIA</t>
  </si>
  <si>
    <t>ROMINA CABRERA GUAJARDO</t>
  </si>
  <si>
    <t>rncabrera@pjud.cl</t>
  </si>
  <si>
    <t>9469619-4</t>
  </si>
  <si>
    <t>CACERES</t>
  </si>
  <si>
    <t>RICARDO PATRICIO</t>
  </si>
  <si>
    <t>RICARDO CACERES ASTUDILLO</t>
  </si>
  <si>
    <t>rcaceres@pjud.cl</t>
  </si>
  <si>
    <t>CAIMANQUE</t>
  </si>
  <si>
    <t>SONIA ALEJANDRA</t>
  </si>
  <si>
    <t>SONIA CAIMANQUE ARAYA</t>
  </si>
  <si>
    <t>12014250-K</t>
  </si>
  <si>
    <t>CAMPOS</t>
  </si>
  <si>
    <t>CAROL LINA</t>
  </si>
  <si>
    <t>CAROL CAMPOS SALAS</t>
  </si>
  <si>
    <t>ccamposs@pjud.cl</t>
  </si>
  <si>
    <t>CAMUS</t>
  </si>
  <si>
    <t>ARGALUZA</t>
  </si>
  <si>
    <t>ROXANA</t>
  </si>
  <si>
    <t>Secretario</t>
  </si>
  <si>
    <t>12446247-9</t>
  </si>
  <si>
    <t>CANALES</t>
  </si>
  <si>
    <t>CARMEN GLORIA</t>
  </si>
  <si>
    <t>CARMEN CANALES BRICEÑO</t>
  </si>
  <si>
    <t>ccanales@pjud.cl</t>
  </si>
  <si>
    <t>VERA</t>
  </si>
  <si>
    <t>ALFONSO GERARDO</t>
  </si>
  <si>
    <t>ALFONSO CANALES VERA</t>
  </si>
  <si>
    <t>18217119-0</t>
  </si>
  <si>
    <t>URRUTIA</t>
  </si>
  <si>
    <t>RODRIGO ESTEBAN</t>
  </si>
  <si>
    <t>RODRIGO CANALES URRUTIA</t>
  </si>
  <si>
    <t>rcanalesu@pjud.cl</t>
  </si>
  <si>
    <t>3° JUZGADO LETRAS DE COQUIMBO</t>
  </si>
  <si>
    <t>17393549-8</t>
  </si>
  <si>
    <t>CANCINO</t>
  </si>
  <si>
    <t>LAGOS</t>
  </si>
  <si>
    <t>JAVIER EDUARDO</t>
  </si>
  <si>
    <t>JAVIER CANCINO LAGOS</t>
  </si>
  <si>
    <t>jcancino@pjud.cl</t>
  </si>
  <si>
    <t>15027040-5</t>
  </si>
  <si>
    <t>CARMONA</t>
  </si>
  <si>
    <t>MANUEL ALEJANDRO</t>
  </si>
  <si>
    <t>MANUEL CARMONA FLORES</t>
  </si>
  <si>
    <t>macarmona@pjud.cl</t>
  </si>
  <si>
    <t>16308479-1</t>
  </si>
  <si>
    <t>PARRA</t>
  </si>
  <si>
    <t>CAROLINA</t>
  </si>
  <si>
    <t>CAROLINA CARMONA PARRA</t>
  </si>
  <si>
    <t>ccarmonap@pjud.cl</t>
  </si>
  <si>
    <t>1º JUZGADO DE LETRAS DE COQUIMBO</t>
  </si>
  <si>
    <t>20082164-5</t>
  </si>
  <si>
    <t>VILCHES</t>
  </si>
  <si>
    <t>LUCAS MATIAS</t>
  </si>
  <si>
    <t>LUCAS CARRASCO VILCHES</t>
  </si>
  <si>
    <t>lcarrascov@pjud.cl</t>
  </si>
  <si>
    <t>16286803-9</t>
  </si>
  <si>
    <t>PEÑAILILLO</t>
  </si>
  <si>
    <t>JONATHAN ANDRÉS</t>
  </si>
  <si>
    <t>JONATHAN CARRASCO PEÑAILILLO</t>
  </si>
  <si>
    <t>jacarrascop@pjud.cl</t>
  </si>
  <si>
    <t>11220739-2</t>
  </si>
  <si>
    <t>CARRAZANA</t>
  </si>
  <si>
    <t>MYRIAM LUZ</t>
  </si>
  <si>
    <t>MYRIAM CARRAZANA DIAZ</t>
  </si>
  <si>
    <t>mcarrazana@pjud.cl</t>
  </si>
  <si>
    <t>VIVIANA NOEMI</t>
  </si>
  <si>
    <t>VIVIANA CARVAJAL CARVAJAL</t>
  </si>
  <si>
    <t>GONZALEZ</t>
  </si>
  <si>
    <t>LAURA DEL CARMEN</t>
  </si>
  <si>
    <t>LAURA CARVAJAL GONZALEZ</t>
  </si>
  <si>
    <t>Administrativo Auditor</t>
  </si>
  <si>
    <t>16162568-K</t>
  </si>
  <si>
    <t>PASTEN</t>
  </si>
  <si>
    <t>KAREN LETICIA</t>
  </si>
  <si>
    <t>KAREN CARVAJAL PASTEN</t>
  </si>
  <si>
    <t>kcarvajalp@pjud.cl</t>
  </si>
  <si>
    <t>15968177-7</t>
  </si>
  <si>
    <t>VALENZUELA</t>
  </si>
  <si>
    <t>PAOLA ANDREA</t>
  </si>
  <si>
    <t>PAOLA CARVAJAL VALENZUELA</t>
  </si>
  <si>
    <t>pacarvajal@pjud.cl</t>
  </si>
  <si>
    <t>11725125-K</t>
  </si>
  <si>
    <t>CASAS</t>
  </si>
  <si>
    <t>LUIS EDUARDO</t>
  </si>
  <si>
    <t>LUIS CASAS LOPEZ</t>
  </si>
  <si>
    <t>lcasas@pjud.cl</t>
  </si>
  <si>
    <t>Administrativo Abogado</t>
  </si>
  <si>
    <t>13660993-9</t>
  </si>
  <si>
    <t>ADONES</t>
  </si>
  <si>
    <t>CAROLINA LETICIA</t>
  </si>
  <si>
    <t>CAROLINA CASTILLO ADONES</t>
  </si>
  <si>
    <t>ccastilloa@pjud.cl</t>
  </si>
  <si>
    <t>9544980-8</t>
  </si>
  <si>
    <t>LUIS FELIX</t>
  </si>
  <si>
    <t>LUIS CASTILLO ARAYA</t>
  </si>
  <si>
    <t>lcastillo@pjud.cl</t>
  </si>
  <si>
    <t>12426394-8</t>
  </si>
  <si>
    <t>ALEJANDRA JULIETA</t>
  </si>
  <si>
    <t>ALEJANDRA CASTILLO BARRAZA</t>
  </si>
  <si>
    <t>ajcastillo@pjud.cl</t>
  </si>
  <si>
    <t>18450098-1</t>
  </si>
  <si>
    <t>CARDENAS</t>
  </si>
  <si>
    <t>CATALINA DANIELA</t>
  </si>
  <si>
    <t>CATALINA CASTILLO CARDENAS</t>
  </si>
  <si>
    <t>ccastilloc@pjud.cl</t>
  </si>
  <si>
    <t>17979291-5</t>
  </si>
  <si>
    <t>BASTIAN FELIPE</t>
  </si>
  <si>
    <t>BASTIAN CASTILLO ROJAS</t>
  </si>
  <si>
    <t>bcastillor@pjud.cl</t>
  </si>
  <si>
    <t>11935668-7</t>
  </si>
  <si>
    <t>SAAVEDRA</t>
  </si>
  <si>
    <t>CLAUDIA LORENA</t>
  </si>
  <si>
    <t>CLAUDIA CASTILLO SAAVEDRA</t>
  </si>
  <si>
    <t>ccastillos@pjud.cl</t>
  </si>
  <si>
    <t>CASTRO</t>
  </si>
  <si>
    <t>CLAUDIA MACARENA</t>
  </si>
  <si>
    <t>CLAUDIA CASTRO AQUEA</t>
  </si>
  <si>
    <t>Relator</t>
  </si>
  <si>
    <t>10764519-5</t>
  </si>
  <si>
    <t>ANGELICA DE LOURDES</t>
  </si>
  <si>
    <t>ANGELICA CASTRO ARAVENA</t>
  </si>
  <si>
    <t>alcastro@pjud.cl</t>
  </si>
  <si>
    <t>14437830-K</t>
  </si>
  <si>
    <t>AMABLE EFRAIN</t>
  </si>
  <si>
    <t>AMABLE CASTRO TAPIA</t>
  </si>
  <si>
    <t>acastro@pjud.cl</t>
  </si>
  <si>
    <t>8625325-9</t>
  </si>
  <si>
    <t>JUAN ANTONIO</t>
  </si>
  <si>
    <t>JUAN CASTRO TAPIA</t>
  </si>
  <si>
    <t>jcastro@pjud.cl</t>
  </si>
  <si>
    <t>10676692-4</t>
  </si>
  <si>
    <t>CENA</t>
  </si>
  <si>
    <t>BOLVARAN</t>
  </si>
  <si>
    <t>ROBERTO ANTONIO</t>
  </si>
  <si>
    <t>ROBERTO CENA BOLVARAN</t>
  </si>
  <si>
    <t>rcena@pjud.cl</t>
  </si>
  <si>
    <t>12792750-2</t>
  </si>
  <si>
    <t>CEBALLOS</t>
  </si>
  <si>
    <t>ESPINOZA</t>
  </si>
  <si>
    <t>ANDREA ELVIRA DEL CARMEN</t>
  </si>
  <si>
    <t>ANDREA CEBALLOS ESPINOSA</t>
  </si>
  <si>
    <t>aeceballos@pjud.cl</t>
  </si>
  <si>
    <t>11471462-3</t>
  </si>
  <si>
    <t>CHEPILLO</t>
  </si>
  <si>
    <t>ANGEL</t>
  </si>
  <si>
    <t>ALEJANDRA CAROLINA</t>
  </si>
  <si>
    <t>ALEJANDRA CHEPILLO ANGEL</t>
  </si>
  <si>
    <t>achepillo@pjud.cl</t>
  </si>
  <si>
    <t>10890756-8</t>
  </si>
  <si>
    <t>CHIRINO</t>
  </si>
  <si>
    <t>PEDRO ROBERTO</t>
  </si>
  <si>
    <t>PEDRO CHIRINO ARAYA</t>
  </si>
  <si>
    <t>prchirino@pjud.cl</t>
  </si>
  <si>
    <t>16189455-9</t>
  </si>
  <si>
    <t>CODOCEO</t>
  </si>
  <si>
    <t>COLLAO</t>
  </si>
  <si>
    <t>ALBERTO EDUARDO</t>
  </si>
  <si>
    <t>ALBERTO CODOCEO COLLAO</t>
  </si>
  <si>
    <t>acodoceoc@pjud.cl</t>
  </si>
  <si>
    <t>VIgente</t>
  </si>
  <si>
    <t>10498193-3</t>
  </si>
  <si>
    <t>CONTADOR</t>
  </si>
  <si>
    <t>MARCO ANTONIO</t>
  </si>
  <si>
    <t>MARCO CONTADOR ORTIZ</t>
  </si>
  <si>
    <t>macontador@pjud.cl</t>
  </si>
  <si>
    <t>14203706-8</t>
  </si>
  <si>
    <t>MONTI</t>
  </si>
  <si>
    <t>GRISEL DEL CARMEN</t>
  </si>
  <si>
    <t>GRISEL CONTRERAS MONTI</t>
  </si>
  <si>
    <t>gccontreras@pjud.cl</t>
  </si>
  <si>
    <t>15910109-6</t>
  </si>
  <si>
    <t>JUAN CARLOS</t>
  </si>
  <si>
    <t>JUAN CONTRERAS ARAYA</t>
  </si>
  <si>
    <t>jccontreras@pjud.cl</t>
  </si>
  <si>
    <t>PUYO</t>
  </si>
  <si>
    <t>HUGO ALEXIS</t>
  </si>
  <si>
    <t>HUGO CONTRERAS PUYO</t>
  </si>
  <si>
    <t>CORONA</t>
  </si>
  <si>
    <t>ALBORNOZ</t>
  </si>
  <si>
    <t>IVAN ROBERTO</t>
  </si>
  <si>
    <t>IVAN CORONA ALBORNOZ</t>
  </si>
  <si>
    <t>icorona@pjud.cl</t>
  </si>
  <si>
    <t>Ministro</t>
  </si>
  <si>
    <t>16095886-3</t>
  </si>
  <si>
    <t>MONDACA</t>
  </si>
  <si>
    <t>DANIELA ALEJANDRA</t>
  </si>
  <si>
    <t>DANIELA CORRAL MONDACA</t>
  </si>
  <si>
    <t>dcorralm@pjud.cl</t>
  </si>
  <si>
    <t>9439084-2</t>
  </si>
  <si>
    <t>IRMA MARGARITA</t>
  </si>
  <si>
    <t>IRMA CORRAL PIZARRO</t>
  </si>
  <si>
    <t>icorral@pjud.cl</t>
  </si>
  <si>
    <t>10185322-5</t>
  </si>
  <si>
    <t>GLORIA JACQUELINE</t>
  </si>
  <si>
    <t>GLORIA CORTES CASTILLO</t>
  </si>
  <si>
    <t>gjcortes@pjud.cl</t>
  </si>
  <si>
    <t>12717517-9</t>
  </si>
  <si>
    <t>LILIANA JEINS</t>
  </si>
  <si>
    <t>LILIANA CORTES CARRASCO</t>
  </si>
  <si>
    <t>ljcortes@pjud.cl</t>
  </si>
  <si>
    <t>JUZGADO DE LETRAS Y GARANTIA DE COMBARBALA</t>
  </si>
  <si>
    <t>15028989-0</t>
  </si>
  <si>
    <t>MARIA INES</t>
  </si>
  <si>
    <t>MARIA CORTES CASTRO</t>
  </si>
  <si>
    <t>micortesc@pjud.cl</t>
  </si>
  <si>
    <t>17859080-4</t>
  </si>
  <si>
    <t>NATACHA FRANCISCA</t>
  </si>
  <si>
    <t>NATACHA CORTES CORTES</t>
  </si>
  <si>
    <t>ncortesc@pjud.cl</t>
  </si>
  <si>
    <t>16110123-0</t>
  </si>
  <si>
    <t>GABRIELA DEL PILAR</t>
  </si>
  <si>
    <t>GABRIELA CORTES DIAZ</t>
  </si>
  <si>
    <t>gcortes@pjud.cl</t>
  </si>
  <si>
    <t>9530985-2</t>
  </si>
  <si>
    <t>INFANTE</t>
  </si>
  <si>
    <t>CARMEN LUISA</t>
  </si>
  <si>
    <t>CARMEN CORTES INFANTE</t>
  </si>
  <si>
    <t>clcortes@pjud.cl</t>
  </si>
  <si>
    <t>18608705-4</t>
  </si>
  <si>
    <t>LABBE</t>
  </si>
  <si>
    <t>MATIAS IGNACIO</t>
  </si>
  <si>
    <t>MATIAS CORTES LABBE</t>
  </si>
  <si>
    <t>mcortesl@pjud.cl</t>
  </si>
  <si>
    <t>11932806-3</t>
  </si>
  <si>
    <t>JUAN CORTES PASTEN</t>
  </si>
  <si>
    <t>jcortesp@pjud.cl</t>
  </si>
  <si>
    <t>12832707-K</t>
  </si>
  <si>
    <t>PAOLA GRECIA</t>
  </si>
  <si>
    <t>PAOLA CORTES TAPIA</t>
  </si>
  <si>
    <t>pcortes@pjud.cl</t>
  </si>
  <si>
    <t>7704788-3</t>
  </si>
  <si>
    <t>RAMOS</t>
  </si>
  <si>
    <t>ISABEL DEL CARMEN</t>
  </si>
  <si>
    <t>ISABEL CORTES RAMOS</t>
  </si>
  <si>
    <t>iccortes@pjud.cl</t>
  </si>
  <si>
    <t>10498844-K</t>
  </si>
  <si>
    <t>VILLALOBOS</t>
  </si>
  <si>
    <t>ESTELA ESTER</t>
  </si>
  <si>
    <t>ESTELA CORTES VILLALOBOS</t>
  </si>
  <si>
    <t>eecortes@pjud.cl</t>
  </si>
  <si>
    <t>10989009-K</t>
  </si>
  <si>
    <t>COSSIO</t>
  </si>
  <si>
    <t>FERNANDEZ</t>
  </si>
  <si>
    <t>RODRIGO</t>
  </si>
  <si>
    <t>RODRIGO COSSIO FERNANDEZ</t>
  </si>
  <si>
    <t>jcossio@pjud.cl</t>
  </si>
  <si>
    <t>1451829-7</t>
  </si>
  <si>
    <t>CUADRA</t>
  </si>
  <si>
    <t>CARLOS EDUARDO</t>
  </si>
  <si>
    <t>CARLOS CUADRA CONTRERAS</t>
  </si>
  <si>
    <t>ccuadrac@pjud.cl</t>
  </si>
  <si>
    <t>OfIcial Cuarto</t>
  </si>
  <si>
    <t>14347893-9</t>
  </si>
  <si>
    <t>CUELLO</t>
  </si>
  <si>
    <t>MADRID</t>
  </si>
  <si>
    <t>YASNA PATRICIA</t>
  </si>
  <si>
    <t>YASNA CUELLO MADRID</t>
  </si>
  <si>
    <t>ycuello@pjud.cl</t>
  </si>
  <si>
    <t>7525216-1</t>
  </si>
  <si>
    <t>DEVOTO</t>
  </si>
  <si>
    <t>TORRES</t>
  </si>
  <si>
    <t>MARIA DEVOTO TORRES</t>
  </si>
  <si>
    <t>mdevoto@pjud.cl</t>
  </si>
  <si>
    <t>CAMPILLAY</t>
  </si>
  <si>
    <t>LEONILDA ELIZABETH</t>
  </si>
  <si>
    <t>LEONILDA DIAZ CAMPILLAY</t>
  </si>
  <si>
    <t>lediaz@pjud.cl</t>
  </si>
  <si>
    <t>Oficial De Fiscal</t>
  </si>
  <si>
    <t>11511072-1</t>
  </si>
  <si>
    <t>CISTERNAS</t>
  </si>
  <si>
    <t>MONICA LORENA</t>
  </si>
  <si>
    <t>MONICA DIAZ CISTERNAS</t>
  </si>
  <si>
    <t>mldiaz@pjud.cl</t>
  </si>
  <si>
    <t>FIGUEROA</t>
  </si>
  <si>
    <t>RODRIGO PATRICIO</t>
  </si>
  <si>
    <t>RODRIGO DIAZ FIGUEROA</t>
  </si>
  <si>
    <t>12220236-4</t>
  </si>
  <si>
    <t>PEÑA Y LILLO</t>
  </si>
  <si>
    <t>DARIO ARTURO</t>
  </si>
  <si>
    <t>DARIO DIAZ PEÑA Y LILLO</t>
  </si>
  <si>
    <t>ddiazp@pjud.cl</t>
  </si>
  <si>
    <t>15041335-4</t>
  </si>
  <si>
    <t>TABILO</t>
  </si>
  <si>
    <t>KAREN DIAZ TABILO</t>
  </si>
  <si>
    <t>kadiazt@pjud.cl</t>
  </si>
  <si>
    <t>10256422-7</t>
  </si>
  <si>
    <t>CRISTIAN FERNANDO</t>
  </si>
  <si>
    <t>CRISTIAN DIAZ TAPIA</t>
  </si>
  <si>
    <t>cfdiaz@pjud.cl</t>
  </si>
  <si>
    <t>13650038-4</t>
  </si>
  <si>
    <t>DINAMARCA</t>
  </si>
  <si>
    <t>CARMEN DINAMARCA RAMOS</t>
  </si>
  <si>
    <t>cdinamarca@pjud.cl</t>
  </si>
  <si>
    <t>13531276-2</t>
  </si>
  <si>
    <t>DONOSO</t>
  </si>
  <si>
    <t>YENNY ESTER</t>
  </si>
  <si>
    <t>YENNY DONOSO CORTES</t>
  </si>
  <si>
    <t>ydonoso@pjud.cl</t>
  </si>
  <si>
    <t>9928136-7</t>
  </si>
  <si>
    <t>DORADO</t>
  </si>
  <si>
    <t>SALAZAR</t>
  </si>
  <si>
    <t>ENRIQUE ANTONIO</t>
  </si>
  <si>
    <t>ENRIQUE DORADO SALAZAR</t>
  </si>
  <si>
    <t>edorado@pjud.cl</t>
  </si>
  <si>
    <t>17814357-3</t>
  </si>
  <si>
    <t>DROGHETTI</t>
  </si>
  <si>
    <t>FUENTES</t>
  </si>
  <si>
    <t>PIA ALEJANDRA</t>
  </si>
  <si>
    <t>PIA DROGHETTI FUENTES</t>
  </si>
  <si>
    <t>pdroghetti@pjud.cl</t>
  </si>
  <si>
    <t>15572154-5</t>
  </si>
  <si>
    <t>DURAN</t>
  </si>
  <si>
    <t>ELIZABETH ROSARIO</t>
  </si>
  <si>
    <t>ELIZABETH DURAN DIAZ</t>
  </si>
  <si>
    <t>erduran@pjud.cl</t>
  </si>
  <si>
    <t>10974629-0</t>
  </si>
  <si>
    <t>EBNER</t>
  </si>
  <si>
    <t>INGRID MARLENE</t>
  </si>
  <si>
    <t>INGRID EBNER ROJAS</t>
  </si>
  <si>
    <t>iebner@pjud.cl</t>
  </si>
  <si>
    <t>9699886-4</t>
  </si>
  <si>
    <t>ECHEVERRIA</t>
  </si>
  <si>
    <t>MARCELO OMAR</t>
  </si>
  <si>
    <t>MARCELO ECHEVERRIA CASTRO</t>
  </si>
  <si>
    <t>mecheverria@pjud.cl</t>
  </si>
  <si>
    <t>11723660-9</t>
  </si>
  <si>
    <t>EGAÑA</t>
  </si>
  <si>
    <t>MUNDACA</t>
  </si>
  <si>
    <t>ANIBAL RICARDO</t>
  </si>
  <si>
    <t>ANIBAL EGAÑA MUNDACA</t>
  </si>
  <si>
    <t>aegana@pjud.cl</t>
  </si>
  <si>
    <t>22174504-3</t>
  </si>
  <si>
    <t>ELGUETA</t>
  </si>
  <si>
    <t>ALARCON</t>
  </si>
  <si>
    <t>MARIA ESTER</t>
  </si>
  <si>
    <t>MARIA ELGUETA ALARCON</t>
  </si>
  <si>
    <t>melgueta@pjud.cl</t>
  </si>
  <si>
    <t>15098185-9</t>
  </si>
  <si>
    <t>MUÑOZ</t>
  </si>
  <si>
    <t>ANDRES BERARDO MAURICIO</t>
  </si>
  <si>
    <t>ANDRES ELGUETA MUÑOZ</t>
  </si>
  <si>
    <t>aelgueta@pjud.cl</t>
  </si>
  <si>
    <t>15560993-1</t>
  </si>
  <si>
    <t>ESCARES</t>
  </si>
  <si>
    <t>SEPULVEDA</t>
  </si>
  <si>
    <t>ALONSO ERNESTO</t>
  </si>
  <si>
    <t>ALONSO ESCARES SEPULVEDA</t>
  </si>
  <si>
    <t>aescaress@pjud.cl</t>
  </si>
  <si>
    <t>13066435-0</t>
  </si>
  <si>
    <t>ESCUTI</t>
  </si>
  <si>
    <t>COTTIER</t>
  </si>
  <si>
    <t>HUGO ANDRES</t>
  </si>
  <si>
    <t>HUGO ESCUTI COTTIER</t>
  </si>
  <si>
    <t>hescuti@pjud.cl</t>
  </si>
  <si>
    <t>ESPINOSA</t>
  </si>
  <si>
    <t>JUAN ESPINOSA ROJAS</t>
  </si>
  <si>
    <t>12513744-K</t>
  </si>
  <si>
    <t>MALVERDE</t>
  </si>
  <si>
    <t>IGNACIO ABDUL</t>
  </si>
  <si>
    <t>IGNACIO ESPINOZA MALVERDE</t>
  </si>
  <si>
    <t>iaespinoza@pjud.cl</t>
  </si>
  <si>
    <t>17285186-K</t>
  </si>
  <si>
    <t>ESQUIVEL</t>
  </si>
  <si>
    <t>AVENDAÑO</t>
  </si>
  <si>
    <t>JOSE FRANCISCO</t>
  </si>
  <si>
    <t>JOSE ESQUIVEL AVENDAÑO</t>
  </si>
  <si>
    <t>jesquivel@pjud.cl</t>
  </si>
  <si>
    <t>15050731-6</t>
  </si>
  <si>
    <t>KARINA ANDREA</t>
  </si>
  <si>
    <t>KARINA ESQUIVEL BONILLA</t>
  </si>
  <si>
    <t>kesquivel@pjud.cl</t>
  </si>
  <si>
    <t>16260276-4</t>
  </si>
  <si>
    <t>ESTEFANIA</t>
  </si>
  <si>
    <t>GUERRERO</t>
  </si>
  <si>
    <t>JENNIFER DEL CARMEN</t>
  </si>
  <si>
    <t>JENNIFER ESTEFANIA GUERRERO</t>
  </si>
  <si>
    <t>jestefania@pjud.cl</t>
  </si>
  <si>
    <t>175472-6</t>
  </si>
  <si>
    <t>EYZAGUIRRE</t>
  </si>
  <si>
    <t>CORDOVA</t>
  </si>
  <si>
    <t>KATHERINE VICTORIA</t>
  </si>
  <si>
    <t>KATHERINE EYZAGUIRRE CORDOVA</t>
  </si>
  <si>
    <t>keyzaguirre@pjud.cl</t>
  </si>
  <si>
    <t>12126514-1</t>
  </si>
  <si>
    <t>FAJARDO</t>
  </si>
  <si>
    <t>INES DEL PILAR</t>
  </si>
  <si>
    <t>INES FAJARDO FAJARDO</t>
  </si>
  <si>
    <t>ifajardo@pjud.cl</t>
  </si>
  <si>
    <t>11376493-7</t>
  </si>
  <si>
    <t>CHAVEZ</t>
  </si>
  <si>
    <t>MARJORIE MARCELA</t>
  </si>
  <si>
    <t>MARJORIE FERNANDEZ CHAVEZ</t>
  </si>
  <si>
    <t>mfernandezc@pjud.cl</t>
  </si>
  <si>
    <t>12569573-6</t>
  </si>
  <si>
    <t>PATRICIA AMANDA</t>
  </si>
  <si>
    <t>PATRICIA FERNANDEZ GONZALEZ</t>
  </si>
  <si>
    <t>pafernandez@pjud.cl</t>
  </si>
  <si>
    <t>FERREIRA</t>
  </si>
  <si>
    <t>ALLYSON GISELLE</t>
  </si>
  <si>
    <t>ALLYSON FERREIRA BONILLA</t>
  </si>
  <si>
    <t>15678959-3</t>
  </si>
  <si>
    <t>TOLOSA</t>
  </si>
  <si>
    <t>LORETO ALEJANDRA</t>
  </si>
  <si>
    <t>LORETO FIGUEROA TOLOSA</t>
  </si>
  <si>
    <t>lfigueroat@pjud.cl</t>
  </si>
  <si>
    <t>15573218-0</t>
  </si>
  <si>
    <t>MONTALVAN</t>
  </si>
  <si>
    <t>CARLOS ENRIQUE</t>
  </si>
  <si>
    <t>CARLOS FLORES MONTALVAN</t>
  </si>
  <si>
    <t>ceflores@pjud.cl</t>
  </si>
  <si>
    <t>15344022-0</t>
  </si>
  <si>
    <t>PRIETO</t>
  </si>
  <si>
    <t>PABLO ALBERTO</t>
  </si>
  <si>
    <t>PABLO FLORES PRIETO</t>
  </si>
  <si>
    <t>pfloresp@pjud.cl</t>
  </si>
  <si>
    <t>12771496-7</t>
  </si>
  <si>
    <t>FONFACH</t>
  </si>
  <si>
    <t>OLIVARES</t>
  </si>
  <si>
    <t>HANS ALEX</t>
  </si>
  <si>
    <t>HANS FONFACH OLIVARES</t>
  </si>
  <si>
    <t>hfonfach@pjud.cl</t>
  </si>
  <si>
    <t>12646802-4</t>
  </si>
  <si>
    <t>NAVARRETE</t>
  </si>
  <si>
    <t>ISMAEL ALEJANDRO</t>
  </si>
  <si>
    <t>ISMAEL FUENTES NAVARRETE</t>
  </si>
  <si>
    <t>iafuentes@pjud.cl</t>
  </si>
  <si>
    <t>15477352-5</t>
  </si>
  <si>
    <t>RIVAS</t>
  </si>
  <si>
    <t>ALEJANDRO</t>
  </si>
  <si>
    <t>ALEJANDRO FUENTES RIVAS</t>
  </si>
  <si>
    <t>aafuentesr@pjud.cl</t>
  </si>
  <si>
    <t>Administrativo 2° Informatico</t>
  </si>
  <si>
    <t>11857000-6</t>
  </si>
  <si>
    <t>FUENZALIDA</t>
  </si>
  <si>
    <t>DÍAZ</t>
  </si>
  <si>
    <t>RAQUEL DEL CARMEN</t>
  </si>
  <si>
    <t>RAQUEL FUENZALIDA DÍAZ</t>
  </si>
  <si>
    <t>rfuenzalida@pjud.cl</t>
  </si>
  <si>
    <t>9555243-9</t>
  </si>
  <si>
    <t>GAJARDO</t>
  </si>
  <si>
    <t>MONICA DEL PILAR</t>
  </si>
  <si>
    <t>MONICA GAJARDO GALLARDO</t>
  </si>
  <si>
    <t>mgajardo@pjud.cl</t>
  </si>
  <si>
    <t>16637361-1</t>
  </si>
  <si>
    <t>VARGAS</t>
  </si>
  <si>
    <t>JUDITH TERESA DE LOS ANDES</t>
  </si>
  <si>
    <t>JUDITH GAJARDO VARGAS</t>
  </si>
  <si>
    <t>jtgajardo@pjud.cl</t>
  </si>
  <si>
    <t>8708642-9</t>
  </si>
  <si>
    <t>LABRAÑA</t>
  </si>
  <si>
    <t>EUGENIA VICTORIA</t>
  </si>
  <si>
    <t>EUGENIA GALLARDO LABRAÑA</t>
  </si>
  <si>
    <t>evgallardo@pjud.cl</t>
  </si>
  <si>
    <t>12419666-3</t>
  </si>
  <si>
    <t>GALLEGUILLOS</t>
  </si>
  <si>
    <t>SALFATE</t>
  </si>
  <si>
    <t>MARCELO GUSTAVO</t>
  </si>
  <si>
    <t>MARCELO GALLEGUILLOS SALFATE</t>
  </si>
  <si>
    <t>margalleguillos@pjud.cl</t>
  </si>
  <si>
    <t>18180022-4</t>
  </si>
  <si>
    <t>POBLETE</t>
  </si>
  <si>
    <t>CRISTOBAL HERNAN</t>
  </si>
  <si>
    <t>CRISTOBAL GALVEZ POBLETE</t>
  </si>
  <si>
    <t>cgalvezp@pjud.cl</t>
  </si>
  <si>
    <t>GARCIA</t>
  </si>
  <si>
    <t>LEAL</t>
  </si>
  <si>
    <t>OLIVIA ZAHIRA TRINIDAD</t>
  </si>
  <si>
    <t>OLIVIA GARCIA LEAL</t>
  </si>
  <si>
    <t>Bibl. Estadist.</t>
  </si>
  <si>
    <t>12570592-8</t>
  </si>
  <si>
    <t>ROMMY GABRIELA</t>
  </si>
  <si>
    <t>ROMMY GARCIA LOPEZ</t>
  </si>
  <si>
    <t>rggarcia@pjud.cl</t>
  </si>
  <si>
    <t>9793288-3</t>
  </si>
  <si>
    <t>FERNANDO RAIMUNDO</t>
  </si>
  <si>
    <t>FERNANDO GARCIA OLIVARES</t>
  </si>
  <si>
    <t>fgarcia@pjud.cl</t>
  </si>
  <si>
    <t>15054866-7</t>
  </si>
  <si>
    <t>GODOY</t>
  </si>
  <si>
    <t>NELSON EDUARDO</t>
  </si>
  <si>
    <t>NELSON GODOY ARAYA</t>
  </si>
  <si>
    <t>ngodoya@pjud.cl</t>
  </si>
  <si>
    <t>9318220-0</t>
  </si>
  <si>
    <t>SOTO</t>
  </si>
  <si>
    <t>JUAN CLAUDIO</t>
  </si>
  <si>
    <t>JUAN GODOY SOTO</t>
  </si>
  <si>
    <t>jgodoys@pjud.cl</t>
  </si>
  <si>
    <t>12942453-2</t>
  </si>
  <si>
    <t>ANGELICA RAQUEL</t>
  </si>
  <si>
    <t>ANGELICA GODOY URRUTIA</t>
  </si>
  <si>
    <t>agodoy@pjud.cl</t>
  </si>
  <si>
    <t>Ayudante de Causas</t>
  </si>
  <si>
    <t>10737234-2</t>
  </si>
  <si>
    <t>CARMEN GOMEZ GUZMAN</t>
  </si>
  <si>
    <t>cggomez@pjud.cl</t>
  </si>
  <si>
    <t>13017597-K</t>
  </si>
  <si>
    <t>CAROLINA DEL PILAR</t>
  </si>
  <si>
    <t>CAROLINA GOMEZ ROJAS</t>
  </si>
  <si>
    <t>cgomezr@pjud.cl</t>
  </si>
  <si>
    <t>18353884-5</t>
  </si>
  <si>
    <t>SEGURA</t>
  </si>
  <si>
    <t>MARIA JOSE</t>
  </si>
  <si>
    <t>MARIA GOMEZ SEGURA</t>
  </si>
  <si>
    <t>mgomezs@pjud.cl</t>
  </si>
  <si>
    <t>13769737-8</t>
  </si>
  <si>
    <t>HONORES</t>
  </si>
  <si>
    <t>MARIA ANGELICA</t>
  </si>
  <si>
    <t>MARIA GONZALEZ HONORES</t>
  </si>
  <si>
    <t>mgonzalezh@pjud.cl</t>
  </si>
  <si>
    <t>16443300-5</t>
  </si>
  <si>
    <t>SOLANGE KATHERINE</t>
  </si>
  <si>
    <t>SOLANGE GONZALEZ BARRIOS</t>
  </si>
  <si>
    <t>skgonzalez@pjud.cl</t>
  </si>
  <si>
    <t>13648870-8</t>
  </si>
  <si>
    <t>NAVARRO</t>
  </si>
  <si>
    <t>JUAN ANDRES</t>
  </si>
  <si>
    <t>JUAN GONZALEZ NAVARRO</t>
  </si>
  <si>
    <t>jgonzalezn@pjud.cl</t>
  </si>
  <si>
    <t>17363137-5</t>
  </si>
  <si>
    <t>PATRICIA ALEJANDRA</t>
  </si>
  <si>
    <t>PATRICIA GONZALEZ PIZARRO</t>
  </si>
  <si>
    <t>pgonzalezp@pjud.cl</t>
  </si>
  <si>
    <t>10375054-7</t>
  </si>
  <si>
    <t>GORICHON</t>
  </si>
  <si>
    <t>EUGENIA ELVIRA</t>
  </si>
  <si>
    <t>EUGENIA GORICHON GOMEZ</t>
  </si>
  <si>
    <t>egorichon@pjud.cl</t>
  </si>
  <si>
    <t>18240178-1</t>
  </si>
  <si>
    <t>REQUENA</t>
  </si>
  <si>
    <t>NICE GABRIELA</t>
  </si>
  <si>
    <t>NICE GUAJARDO REQUENA</t>
  </si>
  <si>
    <t>nguajardo@pjud.cl</t>
  </si>
  <si>
    <t>12447510-4</t>
  </si>
  <si>
    <t>CLAUDIA GUERRA GALLEGUILLOS</t>
  </si>
  <si>
    <t>clguerra@pjud.cl</t>
  </si>
  <si>
    <t>12836771-3</t>
  </si>
  <si>
    <t>LORENA MARISA</t>
  </si>
  <si>
    <t>LORENA GUERRERO ROJAS</t>
  </si>
  <si>
    <t>lguerrero@pjud.cl</t>
  </si>
  <si>
    <t>10587799-4</t>
  </si>
  <si>
    <t>OPAZO</t>
  </si>
  <si>
    <t>ETHEL KATHERINE</t>
  </si>
  <si>
    <t>ETHEL HENRIQUEZ OPAZO</t>
  </si>
  <si>
    <t>ehenriquez@pjud.cl</t>
  </si>
  <si>
    <t>11619200-4</t>
  </si>
  <si>
    <t>HERNANDEZ</t>
  </si>
  <si>
    <t>SANDRA JEANETTE</t>
  </si>
  <si>
    <t>SANDRA HERNANDEZ AGUIRRE</t>
  </si>
  <si>
    <t>shernandez@pjud.cl</t>
  </si>
  <si>
    <t>15498398-8</t>
  </si>
  <si>
    <t>ANA KARINA</t>
  </si>
  <si>
    <t>ANA HERNANDEZ MUÑOZ</t>
  </si>
  <si>
    <t>akhernandez@pjud.cl</t>
  </si>
  <si>
    <t>18754491-2</t>
  </si>
  <si>
    <t>TRONCOSO</t>
  </si>
  <si>
    <t>GABRIELA FRANCISCA</t>
  </si>
  <si>
    <t>GABRIELA HERNANDEZ TRONCOSO</t>
  </si>
  <si>
    <t>gfhernandez@pjud.cl</t>
  </si>
  <si>
    <t>14117002-3</t>
  </si>
  <si>
    <t>HICHE</t>
  </si>
  <si>
    <t>IRELAND</t>
  </si>
  <si>
    <t>PEDRO HECTOR</t>
  </si>
  <si>
    <t>PEDRO HICHE IRELAND</t>
  </si>
  <si>
    <t>phiche@pjud.cl</t>
  </si>
  <si>
    <t>11511561-8</t>
  </si>
  <si>
    <t>CLAUDIA ALEXANDRA</t>
  </si>
  <si>
    <t>CLAUDIA HONORES CORTES</t>
  </si>
  <si>
    <t>chonores@pjud.cl</t>
  </si>
  <si>
    <t>13746400-4</t>
  </si>
  <si>
    <t>HUERTA</t>
  </si>
  <si>
    <t>ASCENCIA PAOLA</t>
  </si>
  <si>
    <t>ASCENCIA HUERTA RIVERA</t>
  </si>
  <si>
    <t>ahuerta@pjud.cl</t>
  </si>
  <si>
    <t>11513939-8</t>
  </si>
  <si>
    <t>IBACACHE</t>
  </si>
  <si>
    <t>SALINAS</t>
  </si>
  <si>
    <t>KARINA PAOLA</t>
  </si>
  <si>
    <t>KARINA IBACACHE SALINAS</t>
  </si>
  <si>
    <t>kibacache@pjud.cl</t>
  </si>
  <si>
    <t>15802248-6</t>
  </si>
  <si>
    <t>VIANKA VANESSA</t>
  </si>
  <si>
    <t>VIANKA IBACACHE PIZARRO</t>
  </si>
  <si>
    <t>vibacache@pjud.cl</t>
  </si>
  <si>
    <t>15997604-1</t>
  </si>
  <si>
    <t>IBARBE</t>
  </si>
  <si>
    <t>MARCELA ANDREA</t>
  </si>
  <si>
    <t>MARCELA IBARBE LOPEZ</t>
  </si>
  <si>
    <t>mibarbe@pjud.cl</t>
  </si>
  <si>
    <t>10522419-2</t>
  </si>
  <si>
    <t>IGLESIAS</t>
  </si>
  <si>
    <t>CARMEN LUZ</t>
  </si>
  <si>
    <t>CARMEN IGLESIAS GUERRERO</t>
  </si>
  <si>
    <t>ciglesias@pjud.cl</t>
  </si>
  <si>
    <t>10536970-0</t>
  </si>
  <si>
    <t>XIMENA</t>
  </si>
  <si>
    <t>XIMENA IGLESIAS GUERRERO</t>
  </si>
  <si>
    <t>xiglesias@pjud.cl</t>
  </si>
  <si>
    <t>15405672-6</t>
  </si>
  <si>
    <t>JARAQUEMADA</t>
  </si>
  <si>
    <t>ALBERTO JAVIER</t>
  </si>
  <si>
    <t>ALBERTO JARAQUEMADA CARRASCO</t>
  </si>
  <si>
    <t>ajaraquemada@pjud.cl</t>
  </si>
  <si>
    <t>JAURIAT</t>
  </si>
  <si>
    <t>SANDRA DEL CARMEN</t>
  </si>
  <si>
    <t>SANDRA JAURIAT MOYA</t>
  </si>
  <si>
    <t>17364352-7</t>
  </si>
  <si>
    <t>JEREZ</t>
  </si>
  <si>
    <t>CONSTANZA FERNANDA</t>
  </si>
  <si>
    <t>CONSTANZA JEREZ MUNDACA</t>
  </si>
  <si>
    <t>cjerez@pjud.cl</t>
  </si>
  <si>
    <t>15036980-0</t>
  </si>
  <si>
    <t>JIMENEZ</t>
  </si>
  <si>
    <t>LORENA ALEJANDRA</t>
  </si>
  <si>
    <t>LORENA JIMENEZ GONZALEZ</t>
  </si>
  <si>
    <t>ljimenez@pjud.cl</t>
  </si>
  <si>
    <t>16868672-2</t>
  </si>
  <si>
    <t>CARMEN ANDREA</t>
  </si>
  <si>
    <t>CARMEN JIMENEZ VEGA</t>
  </si>
  <si>
    <t>cajimenez@pjud.cl</t>
  </si>
  <si>
    <t>9703341-2</t>
  </si>
  <si>
    <t>JOFRE</t>
  </si>
  <si>
    <t>HIDALGO</t>
  </si>
  <si>
    <t>VLADIMIR HERNANDO</t>
  </si>
  <si>
    <t>VLADIMIR JOFRE HIDALGO</t>
  </si>
  <si>
    <t>vjofre@pjud.cl</t>
  </si>
  <si>
    <t>15041496-2</t>
  </si>
  <si>
    <t>ISABEL MARGARITA</t>
  </si>
  <si>
    <t>ISABEL JOFRE OLIVARES</t>
  </si>
  <si>
    <t>ijofre@pjud.cl</t>
  </si>
  <si>
    <t>17032213-4</t>
  </si>
  <si>
    <t>VICTORIA ELENA</t>
  </si>
  <si>
    <t>VICTORIA JORQUERA HUERTA</t>
  </si>
  <si>
    <t>vjorquera@pjud.cl</t>
  </si>
  <si>
    <t>5599657-1</t>
  </si>
  <si>
    <t>PEÑALOZA</t>
  </si>
  <si>
    <t>CARLOS LORENZO</t>
  </si>
  <si>
    <t>CARLOS JORQUERA PEÑALOZA</t>
  </si>
  <si>
    <t>cjorquera@pjud.cl</t>
  </si>
  <si>
    <t>13017318-7</t>
  </si>
  <si>
    <t>JULIO</t>
  </si>
  <si>
    <t>PEREZ</t>
  </si>
  <si>
    <t>RODRIGO ORLANDO</t>
  </si>
  <si>
    <t>RODRIGO JULIO PEREZ</t>
  </si>
  <si>
    <t>rjulio@pjud.cl</t>
  </si>
  <si>
    <t>16688610-4</t>
  </si>
  <si>
    <t>KANAZAWA</t>
  </si>
  <si>
    <t>KIM ELIZABETH</t>
  </si>
  <si>
    <t>KIM KANAZAWA NAVARRO</t>
  </si>
  <si>
    <t>kkanazawa@pjud.cl</t>
  </si>
  <si>
    <t>KONG</t>
  </si>
  <si>
    <t>LAFUENTE</t>
  </si>
  <si>
    <t>DIGNA LILA</t>
  </si>
  <si>
    <t>DIGNA KONG LAFUENTE</t>
  </si>
  <si>
    <t xml:space="preserve">dkong@pjud.cl </t>
  </si>
  <si>
    <t>Digitador de Sala</t>
  </si>
  <si>
    <t>19190789-2</t>
  </si>
  <si>
    <t>LA ROSA</t>
  </si>
  <si>
    <t>FRANCO ALEJANDRO</t>
  </si>
  <si>
    <t>FRANCO LA ROSA FUENZALIDA</t>
  </si>
  <si>
    <t>flarosa@pjud.cl</t>
  </si>
  <si>
    <t>9780986-0</t>
  </si>
  <si>
    <t>LABARCA</t>
  </si>
  <si>
    <t>VARELA</t>
  </si>
  <si>
    <t>JOSE LUIS</t>
  </si>
  <si>
    <t>JOSE LABARCA VARELA</t>
  </si>
  <si>
    <t>jlabarca@pjud.cl</t>
  </si>
  <si>
    <t>9079292-K</t>
  </si>
  <si>
    <t>LAFERRIERE</t>
  </si>
  <si>
    <t>LISSETTE ANA DEL CARMEN</t>
  </si>
  <si>
    <t>LISSETTE LAFERRIERE MOLINA</t>
  </si>
  <si>
    <t>llaferriere@pjud.cl</t>
  </si>
  <si>
    <t>13425279-0</t>
  </si>
  <si>
    <t>MARIA ELENA</t>
  </si>
  <si>
    <t>MARIA LAFUENTE GAJARDO</t>
  </si>
  <si>
    <t>mlafuente@pjud.cl</t>
  </si>
  <si>
    <t>17516195-3</t>
  </si>
  <si>
    <t>JUAN ESTEBAN</t>
  </si>
  <si>
    <t>JUAN LAGOS LOPEZ</t>
  </si>
  <si>
    <t>jlagos@pjud.cl</t>
  </si>
  <si>
    <t>8404802-K</t>
  </si>
  <si>
    <t>LANDERRETCHE</t>
  </si>
  <si>
    <t>SOTOMAYOR</t>
  </si>
  <si>
    <t>GHISLAINE LOUISETTE</t>
  </si>
  <si>
    <t>GHISLAINE LANDERRETCHE SOTOMAYOR</t>
  </si>
  <si>
    <t>glanderretche@pjud.cl</t>
  </si>
  <si>
    <t>16431540-1</t>
  </si>
  <si>
    <t>LATORRE</t>
  </si>
  <si>
    <t>MICHELLE PENELOPE</t>
  </si>
  <si>
    <t>MICHELLE LATORRE MUÑOZ</t>
  </si>
  <si>
    <t>mlatorre@pjud.cl</t>
  </si>
  <si>
    <t xml:space="preserve">LE-CERF </t>
  </si>
  <si>
    <t>RABY</t>
  </si>
  <si>
    <t>CHRISTIAN MICHAEL</t>
  </si>
  <si>
    <t>CHRISTIAN LE-CERF  RABY</t>
  </si>
  <si>
    <t>clecerf@pjud.cl</t>
  </si>
  <si>
    <t>16444158-K</t>
  </si>
  <si>
    <t>LEMUS</t>
  </si>
  <si>
    <t>PATRICIA VALENTINA</t>
  </si>
  <si>
    <t>PATRICIA LEMUS CASTILLO</t>
  </si>
  <si>
    <t>plemus@pjud.cl</t>
  </si>
  <si>
    <t>12598772-9</t>
  </si>
  <si>
    <t>LEON</t>
  </si>
  <si>
    <t>CAROLINA PATRICIA</t>
  </si>
  <si>
    <t>CAROLINA LEON AGUILERA</t>
  </si>
  <si>
    <t>cpleon@pjud.cl</t>
  </si>
  <si>
    <t>13221586-3</t>
  </si>
  <si>
    <t>ORELLANA</t>
  </si>
  <si>
    <t>FANNY</t>
  </si>
  <si>
    <t>FANNY LEON ORELLANA</t>
  </si>
  <si>
    <t>faleon@pjud.cl</t>
  </si>
  <si>
    <t>LETTURA</t>
  </si>
  <si>
    <t>LAZO</t>
  </si>
  <si>
    <t>CLAUDIA ANDREA</t>
  </si>
  <si>
    <t>CLAUDIA LETTURA LAZO</t>
  </si>
  <si>
    <t>Oficial de Fiscal</t>
  </si>
  <si>
    <t>12917906-6</t>
  </si>
  <si>
    <t>LIZAMA</t>
  </si>
  <si>
    <t>PAOLA LIZAMA SEPULVEDA</t>
  </si>
  <si>
    <t>plizama@pjud.cl</t>
  </si>
  <si>
    <t>16244647-9</t>
  </si>
  <si>
    <t>DEVIA</t>
  </si>
  <si>
    <t>MARCELA KARINA</t>
  </si>
  <si>
    <t>MARCELA LOPEZ DEVIA</t>
  </si>
  <si>
    <t>mlopezd@pjud.cl</t>
  </si>
  <si>
    <t>13875664-5</t>
  </si>
  <si>
    <t>LLANOS</t>
  </si>
  <si>
    <t>EDUARDO FRANCISCO</t>
  </si>
  <si>
    <t>EDUARDO LOPEZ LLANOS</t>
  </si>
  <si>
    <t>elopezl@pjud.cl</t>
  </si>
  <si>
    <t>11935831-0</t>
  </si>
  <si>
    <t>NIBALDO DEL ROSARIO</t>
  </si>
  <si>
    <t>NIBALDO LOPEZ MORALES</t>
  </si>
  <si>
    <t>nlopez@pjud.cl</t>
  </si>
  <si>
    <t>8985709-0</t>
  </si>
  <si>
    <t>VELIC</t>
  </si>
  <si>
    <t>MONICA BEATRIZ</t>
  </si>
  <si>
    <t>MONICA LOPEZ VELIC</t>
  </si>
  <si>
    <t>mblopez@pjud.cl</t>
  </si>
  <si>
    <t>13534804-K</t>
  </si>
  <si>
    <t>LUNA</t>
  </si>
  <si>
    <t>PENNA</t>
  </si>
  <si>
    <t>MARIA LUNA PENNA</t>
  </si>
  <si>
    <t>mlunap@pjud.cl</t>
  </si>
  <si>
    <t>12163455-4</t>
  </si>
  <si>
    <t>MALDONADO</t>
  </si>
  <si>
    <t>LIBERONA</t>
  </si>
  <si>
    <t>ALAIN</t>
  </si>
  <si>
    <t>ALAIN MALDONADO LIBERONA</t>
  </si>
  <si>
    <t>amaldonado@pjud.cl</t>
  </si>
  <si>
    <t>16492364-9</t>
  </si>
  <si>
    <t>MAYKOL ANDRES</t>
  </si>
  <si>
    <t>MAYKOL MALDONADO LOPEZ</t>
  </si>
  <si>
    <t>mmaldonadol@pjud.cl</t>
  </si>
  <si>
    <t>9070140-1</t>
  </si>
  <si>
    <t>FELISA ALEXANDRA</t>
  </si>
  <si>
    <t>FELISA MALDONADO RODRIGUEZ</t>
  </si>
  <si>
    <t>fmaldonador@pjud.cl</t>
  </si>
  <si>
    <t>17173329-4</t>
  </si>
  <si>
    <t>MALEBRAN</t>
  </si>
  <si>
    <t>KARLA</t>
  </si>
  <si>
    <t>KARLA MALEBRAN TORRES</t>
  </si>
  <si>
    <t>kmalebran@pjud.cl</t>
  </si>
  <si>
    <t>12945633-7</t>
  </si>
  <si>
    <t>MANQUE</t>
  </si>
  <si>
    <t>TOLEDO</t>
  </si>
  <si>
    <t>PAULO CESAR</t>
  </si>
  <si>
    <t>PAULO MANQUE TOLEDO</t>
  </si>
  <si>
    <t>pmanque@pjud.cl</t>
  </si>
  <si>
    <t>13533512-6</t>
  </si>
  <si>
    <t>CARLOS ANDRES</t>
  </si>
  <si>
    <t>CARLOS MANQUE TAPIA</t>
  </si>
  <si>
    <t>cmanque@pjud.cl</t>
  </si>
  <si>
    <t>16268673-9</t>
  </si>
  <si>
    <t>MANUSAKIS</t>
  </si>
  <si>
    <t>ALEJANDRA ANDREA</t>
  </si>
  <si>
    <t>ALEJANDRA MANUSAKIS GONZALEZ</t>
  </si>
  <si>
    <t>amanusakis@pjud.cl</t>
  </si>
  <si>
    <t>17363032-8</t>
  </si>
  <si>
    <t>MARAMBIO</t>
  </si>
  <si>
    <t>ALICIA CARMEN</t>
  </si>
  <si>
    <t>ALICIA MARAMBIO LAZO</t>
  </si>
  <si>
    <t>amarambiol@pjud.cl</t>
  </si>
  <si>
    <t>MARCHANT</t>
  </si>
  <si>
    <t>CAROLINA DE LOS ANGELES</t>
  </si>
  <si>
    <t>CAROLINA MARCHANT ROJAS</t>
  </si>
  <si>
    <t>12717728-7</t>
  </si>
  <si>
    <t>MARIN</t>
  </si>
  <si>
    <t>CRISTIAN MAURICIO</t>
  </si>
  <si>
    <t>CRISTIAN MARIN ARAYA</t>
  </si>
  <si>
    <t>cmarina@pjud.cl</t>
  </si>
  <si>
    <t>CASTAÑEDA</t>
  </si>
  <si>
    <t>DIANA GUMERCINDA</t>
  </si>
  <si>
    <t>DIANA MARIN CASTAÑEDA</t>
  </si>
  <si>
    <t>17174977-8</t>
  </si>
  <si>
    <t>LARGO</t>
  </si>
  <si>
    <t>CAMILA FERNANDA</t>
  </si>
  <si>
    <t>CAMILA MARIN LARGO</t>
  </si>
  <si>
    <t>cmarinl@pjud.cl</t>
  </si>
  <si>
    <t>16285934-K</t>
  </si>
  <si>
    <t>MARQUEZ</t>
  </si>
  <si>
    <t>HUENCHUCOY</t>
  </si>
  <si>
    <t>VICTORIA DEL CARMEN</t>
  </si>
  <si>
    <t>VICTORIA MARQUEZ HUENCHUCOY</t>
  </si>
  <si>
    <t>vmarquez@pjud.cl</t>
  </si>
  <si>
    <t>13329176-8</t>
  </si>
  <si>
    <t>CERDA</t>
  </si>
  <si>
    <t>ROSA ALEJANDRA</t>
  </si>
  <si>
    <t>ROSA MARTINEZ CERDA</t>
  </si>
  <si>
    <t>ramartinezc@pjud.cl</t>
  </si>
  <si>
    <t>JUICA</t>
  </si>
  <si>
    <t>HECTOR IVAN</t>
  </si>
  <si>
    <t>HECTOR MARTINEZ JUICA</t>
  </si>
  <si>
    <t>16141895-1</t>
  </si>
  <si>
    <t>MERINO</t>
  </si>
  <si>
    <t>GONZALO ALBERTO</t>
  </si>
  <si>
    <t>GONZALO MARTINEZ MERINO</t>
  </si>
  <si>
    <t>gmartinez@pjud.cl</t>
  </si>
  <si>
    <t>12806327-7</t>
  </si>
  <si>
    <t>MAUAD</t>
  </si>
  <si>
    <t>SAMIR</t>
  </si>
  <si>
    <t>SAMIR MAUAD GOMEZ</t>
  </si>
  <si>
    <t>smauad@pjud.cl</t>
  </si>
  <si>
    <t>ANDREA GABRIELA</t>
  </si>
  <si>
    <t>ANDREA MAUAD JULIO</t>
  </si>
  <si>
    <t>16843252-6</t>
  </si>
  <si>
    <t>MERIÑO</t>
  </si>
  <si>
    <t>URRA</t>
  </si>
  <si>
    <t>BRAULIO FELIPE</t>
  </si>
  <si>
    <t>BRAULIO MERIÑO URRA</t>
  </si>
  <si>
    <t>bfmerino@pjud.cl</t>
  </si>
  <si>
    <t>15045322-4</t>
  </si>
  <si>
    <t>MESA</t>
  </si>
  <si>
    <t>LERY</t>
  </si>
  <si>
    <t>ANTONIO ALFREDO</t>
  </si>
  <si>
    <t>ANTONIO MESA LERY</t>
  </si>
  <si>
    <t>aamesa@pjud.cl</t>
  </si>
  <si>
    <t>9711357-2</t>
  </si>
  <si>
    <t>MICHEA</t>
  </si>
  <si>
    <t>OLIVAREZ</t>
  </si>
  <si>
    <t>ARINDA DEL CARMEN</t>
  </si>
  <si>
    <t>ARINDA MICHEA OLIVAREZ</t>
  </si>
  <si>
    <t>amichea@pjud.cl</t>
  </si>
  <si>
    <t>18232072-2</t>
  </si>
  <si>
    <t>PAULINA CELINDA DEL PILAR</t>
  </si>
  <si>
    <t>PAULINA MILLA CARRASCO</t>
  </si>
  <si>
    <t>pmillac@pjud.cl</t>
  </si>
  <si>
    <t>10797819-4</t>
  </si>
  <si>
    <t>JAIME EDWIN</t>
  </si>
  <si>
    <t>JAIME MILLA RIVERA</t>
  </si>
  <si>
    <t>jmilla@pjud.cl</t>
  </si>
  <si>
    <t>12570964-8</t>
  </si>
  <si>
    <t>MIRANDA</t>
  </si>
  <si>
    <t>ALEJANDRA MIRANDA BARRAZA</t>
  </si>
  <si>
    <t>amirandab@pjud.cl</t>
  </si>
  <si>
    <t>CHARNOCK</t>
  </si>
  <si>
    <t>MARGARETT</t>
  </si>
  <si>
    <t>MARGARETT MOLINA CHARNOCK</t>
  </si>
  <si>
    <t>Periodista</t>
  </si>
  <si>
    <t>9484608-0</t>
  </si>
  <si>
    <t>CLAUDIA CECILIA</t>
  </si>
  <si>
    <t>CLAUDIA MOLINA CONTADOR</t>
  </si>
  <si>
    <t>cmolina@pjud.cl</t>
  </si>
  <si>
    <t>13296270-7</t>
  </si>
  <si>
    <t>PALMA</t>
  </si>
  <si>
    <t>DORIS DEL CARMEN</t>
  </si>
  <si>
    <t>DORIS MOLINA PALMA</t>
  </si>
  <si>
    <t>dcmolina@pjud.cl</t>
  </si>
  <si>
    <t>14370794-6</t>
  </si>
  <si>
    <t>ROSA VERONICA</t>
  </si>
  <si>
    <t>ROSA MONDACA CONTRERAS</t>
  </si>
  <si>
    <t>rvmondaca@pjud.cl</t>
  </si>
  <si>
    <t>7794548-2</t>
  </si>
  <si>
    <t>PEDRO PABLO</t>
  </si>
  <si>
    <t>PEDRO MONDACA CONTRERAS</t>
  </si>
  <si>
    <t>pmondaca@pjud.cl</t>
  </si>
  <si>
    <t>11615937-6</t>
  </si>
  <si>
    <t>MONTECINOS</t>
  </si>
  <si>
    <t>ALEXIS</t>
  </si>
  <si>
    <t>ALEXIS MONTECINOS OLIVARES</t>
  </si>
  <si>
    <t>armontecinos@pjud.cl</t>
  </si>
  <si>
    <t>MONTENEGRO</t>
  </si>
  <si>
    <t>ROSSI</t>
  </si>
  <si>
    <t>MIGUEL ANTONIO</t>
  </si>
  <si>
    <t>MIGUEL MONTENEGRO ROSSI</t>
  </si>
  <si>
    <t>mmontenegro@pjud.cl</t>
  </si>
  <si>
    <t>17644184-4</t>
  </si>
  <si>
    <t>MONTERO</t>
  </si>
  <si>
    <t>ARDILES</t>
  </si>
  <si>
    <t>MARJORIE GRACIELA</t>
  </si>
  <si>
    <t>MARJORIE MONTERO ARDILES</t>
  </si>
  <si>
    <t>mgmontero@pjud.cl</t>
  </si>
  <si>
    <t>12171099-4</t>
  </si>
  <si>
    <t>TRUJILLO</t>
  </si>
  <si>
    <t>LUIS ROMELIO</t>
  </si>
  <si>
    <t>LUIS MORALES TRUJILLO</t>
  </si>
  <si>
    <t>lmorales@pjud.cl</t>
  </si>
  <si>
    <t>15574459-6</t>
  </si>
  <si>
    <t xml:space="preserve">MORGADO </t>
  </si>
  <si>
    <t>OCHOA</t>
  </si>
  <si>
    <t>JOYCE CAROL</t>
  </si>
  <si>
    <t>JOYCE MORGADO OCHOA</t>
  </si>
  <si>
    <t>jcmorgado@pjud.cl</t>
  </si>
  <si>
    <t>10074683-2</t>
  </si>
  <si>
    <t>MORRAS</t>
  </si>
  <si>
    <t>RATHGEBER</t>
  </si>
  <si>
    <t>AMAYA ALEJANDRA KARL</t>
  </si>
  <si>
    <t>AMAYA MORRAS RATHGEBER</t>
  </si>
  <si>
    <t>amorras@pjud.cl</t>
  </si>
  <si>
    <t>11893570-5</t>
  </si>
  <si>
    <t xml:space="preserve">MOYA </t>
  </si>
  <si>
    <t>PACHECO</t>
  </si>
  <si>
    <t>ALFONSO ANDRES</t>
  </si>
  <si>
    <t>ALFONSO MOYA PACHECO</t>
  </si>
  <si>
    <t>amoya@pjud.cl</t>
  </si>
  <si>
    <t>10807607-0</t>
  </si>
  <si>
    <t>MULET</t>
  </si>
  <si>
    <t>VALERIA PAULINA</t>
  </si>
  <si>
    <t>VALERIA MULET MARTINEZ</t>
  </si>
  <si>
    <t>vmulet@pjud.cl</t>
  </si>
  <si>
    <t>18495403-6</t>
  </si>
  <si>
    <t>ASTETE</t>
  </si>
  <si>
    <t>KEDY RODOLFO</t>
  </si>
  <si>
    <t>KEDY MUÑOZ ASTETE</t>
  </si>
  <si>
    <t>kmunoza@pjud.cl</t>
  </si>
  <si>
    <t>18495404-4</t>
  </si>
  <si>
    <t>MAIRON JOSUÉ</t>
  </si>
  <si>
    <t>MAIRON MUÑOZ ASTETE</t>
  </si>
  <si>
    <t>mjmunoza@pjud.cl</t>
  </si>
  <si>
    <t>13531061-1</t>
  </si>
  <si>
    <t>ALDAY</t>
  </si>
  <si>
    <t>FRANCISCO JOSE ANDRES</t>
  </si>
  <si>
    <t>FRANCISCO MUÑOZ ALDAY</t>
  </si>
  <si>
    <t>fjmunoz@pjud.cl</t>
  </si>
  <si>
    <t>10171684-8</t>
  </si>
  <si>
    <t>CAAMAÑO</t>
  </si>
  <si>
    <t>LUIS ALBERTO</t>
  </si>
  <si>
    <t>LUIS MUÑOZ CAAMAÑO</t>
  </si>
  <si>
    <t>lamunoz@pjud.cl</t>
  </si>
  <si>
    <t>15854059-2</t>
  </si>
  <si>
    <t>CRUCES</t>
  </si>
  <si>
    <t>OSCAR ARTURO</t>
  </si>
  <si>
    <t>OSCAR MUÑOZ CRUCES</t>
  </si>
  <si>
    <t>oamunoz@pjud.cl</t>
  </si>
  <si>
    <t>17465208-2</t>
  </si>
  <si>
    <t>NICOLE ALEXANDRA</t>
  </si>
  <si>
    <t>NICOLE MUÑOZ GONZALEZ</t>
  </si>
  <si>
    <t>namunozg@pjud.cl</t>
  </si>
  <si>
    <t>12770450-3</t>
  </si>
  <si>
    <t>MARCELA LORENA</t>
  </si>
  <si>
    <t>MARCELA MUÑOZ MOLINA</t>
  </si>
  <si>
    <t>mmunozm@pjud.cl</t>
  </si>
  <si>
    <t>15638448-8</t>
  </si>
  <si>
    <t>LILLO</t>
  </si>
  <si>
    <t>RICARDO FRANCISCO</t>
  </si>
  <si>
    <t>RICARDO MUÑOZ LILLO</t>
  </si>
  <si>
    <t>rfmunoz@pjud.cl</t>
  </si>
  <si>
    <t>15595127-3</t>
  </si>
  <si>
    <t>VELIZ</t>
  </si>
  <si>
    <t>NATALIA ANDREA</t>
  </si>
  <si>
    <t>NATALIA MUÑOZ VELIZ</t>
  </si>
  <si>
    <t>namunoz@pjud.cl</t>
  </si>
  <si>
    <t>11620593-9</t>
  </si>
  <si>
    <t>NARANJO</t>
  </si>
  <si>
    <t>BISCHOF</t>
  </si>
  <si>
    <t>ANA VERONICA</t>
  </si>
  <si>
    <t>ANA NARANJO BISCHOF</t>
  </si>
  <si>
    <t>anaranjo@pjud.cl</t>
  </si>
  <si>
    <t>19394285-7</t>
  </si>
  <si>
    <t>MATAMOROS</t>
  </si>
  <si>
    <t>ROCIO BELEN</t>
  </si>
  <si>
    <t>ROCIO NARANJO MATAMOROS</t>
  </si>
  <si>
    <t>rnaranjom@pjud.cl</t>
  </si>
  <si>
    <t>12853204-8</t>
  </si>
  <si>
    <t>MACARENA NAVARRETE GONZALEZ</t>
  </si>
  <si>
    <t>mnavarrete@pjud.cl</t>
  </si>
  <si>
    <t>NEGRONI</t>
  </si>
  <si>
    <t>GLORIA ISABEL</t>
  </si>
  <si>
    <t>GLORIA NEGRONI VERA</t>
  </si>
  <si>
    <t>gnegroni@pjud.cl</t>
  </si>
  <si>
    <t>11619075-3</t>
  </si>
  <si>
    <t>NICOLODI</t>
  </si>
  <si>
    <t>OSORIO</t>
  </si>
  <si>
    <t>ROSANA MARGARITA</t>
  </si>
  <si>
    <t>ROSANA NICOLODI OSORIO</t>
  </si>
  <si>
    <t>rnicolodi@pjud.cl</t>
  </si>
  <si>
    <t>15595477-9</t>
  </si>
  <si>
    <t>NUÑEZ</t>
  </si>
  <si>
    <t>MARCOS ARTURO</t>
  </si>
  <si>
    <t>MARCOS NUÑEZ VEGA</t>
  </si>
  <si>
    <t>mnunezv@pjud.cl</t>
  </si>
  <si>
    <t>9381006-6</t>
  </si>
  <si>
    <t>OBREGON</t>
  </si>
  <si>
    <t>EDYE ANTONIO</t>
  </si>
  <si>
    <t>EDYE OBREGON OBREGON</t>
  </si>
  <si>
    <t>eobregon@pjud.cl</t>
  </si>
  <si>
    <t>OLAVE</t>
  </si>
  <si>
    <t>JUAN OLAVE SOTO</t>
  </si>
  <si>
    <t>Administrativo de Gestion</t>
  </si>
  <si>
    <t>11933205-2</t>
  </si>
  <si>
    <t>CAROLL LORENA</t>
  </si>
  <si>
    <t>CAROLL OLIVARES ARDILES</t>
  </si>
  <si>
    <t>clolivares@pjud.cl</t>
  </si>
  <si>
    <t>17016525-K</t>
  </si>
  <si>
    <t>ARENAS</t>
  </si>
  <si>
    <t>GABRIELA CECILIA</t>
  </si>
  <si>
    <t>GABRIELA OLIVARES ARENAS</t>
  </si>
  <si>
    <t>gcolivares@pjud.cl</t>
  </si>
  <si>
    <t>13746989-8</t>
  </si>
  <si>
    <t>FARIAS</t>
  </si>
  <si>
    <t>JOHANNA ANTONIA</t>
  </si>
  <si>
    <t>JOHANNA OLIVARES FARIAS</t>
  </si>
  <si>
    <t>jolivaresf@pjud.cl</t>
  </si>
  <si>
    <t>17209574-7</t>
  </si>
  <si>
    <t>DANIELA FEBES</t>
  </si>
  <si>
    <t>DANIELA OLIVARES GONZALEZ</t>
  </si>
  <si>
    <t>dfolivares@pjud.cl</t>
  </si>
  <si>
    <t>10487896-2</t>
  </si>
  <si>
    <t>HERRERA</t>
  </si>
  <si>
    <t>JORGE ESTEBAN</t>
  </si>
  <si>
    <t>JORGE OLIVARES HERRERA</t>
  </si>
  <si>
    <t>jeolivares@pjud.cl</t>
  </si>
  <si>
    <t>14544245-1</t>
  </si>
  <si>
    <t>ROMINA ALEJANDRA</t>
  </si>
  <si>
    <t>ROMINA OLIVARES HERRERA</t>
  </si>
  <si>
    <t>raolivares@pjud.cl</t>
  </si>
  <si>
    <t>10151312-2</t>
  </si>
  <si>
    <t>JAIME</t>
  </si>
  <si>
    <t>MANUEL RICARDO</t>
  </si>
  <si>
    <t>MANUEL OLIVARES JAIME</t>
  </si>
  <si>
    <t>molivaresj@pjud.cl</t>
  </si>
  <si>
    <t>13178804-5</t>
  </si>
  <si>
    <t>MARIO LUIS</t>
  </si>
  <si>
    <t>MARIO OLIVARES MADRID</t>
  </si>
  <si>
    <t>mlolivares@pjud.cl</t>
  </si>
  <si>
    <t>19568908-3</t>
  </si>
  <si>
    <t>MARIA CRISTINA</t>
  </si>
  <si>
    <t>MARIA OLIVARES OLIVARES</t>
  </si>
  <si>
    <t>mcolivares@pjud.cl</t>
  </si>
  <si>
    <t>18444890-4</t>
  </si>
  <si>
    <t>MARIANA ANDREA</t>
  </si>
  <si>
    <t>MARIANA OLIVARES OLIVARES</t>
  </si>
  <si>
    <t>molivareso@pjud.cl</t>
  </si>
  <si>
    <t>16687043-7</t>
  </si>
  <si>
    <t>FEDORA ANDREA</t>
  </si>
  <si>
    <t>FEDORA OLIVARES TAPIA</t>
  </si>
  <si>
    <t>faolivares@pjud.cl</t>
  </si>
  <si>
    <t>15726888-0</t>
  </si>
  <si>
    <t>OLLARZU</t>
  </si>
  <si>
    <t>BASCUR</t>
  </si>
  <si>
    <t>MARIELA DEL CARMEN</t>
  </si>
  <si>
    <t>MARIELA OLLARZU BASCUR</t>
  </si>
  <si>
    <t>mollarzu@pjud.cl</t>
  </si>
  <si>
    <t>16689103-5</t>
  </si>
  <si>
    <t>ORREGO</t>
  </si>
  <si>
    <t>MAYBEY YARERLA</t>
  </si>
  <si>
    <t>MAYBEY ORREGO BUGUEÑO</t>
  </si>
  <si>
    <t>morregob@pjud.cl</t>
  </si>
  <si>
    <t>18688544-9</t>
  </si>
  <si>
    <t>ANDREU</t>
  </si>
  <si>
    <t>JAIME FERNANDO</t>
  </si>
  <si>
    <t>JAIME ORTIZ ANDREU</t>
  </si>
  <si>
    <t>jortiza@pjud.cl</t>
  </si>
  <si>
    <t>VALDIVIA</t>
  </si>
  <si>
    <t>CAMILA DE JESUS</t>
  </si>
  <si>
    <t>CAMILA ORTIZ VALDIVIA</t>
  </si>
  <si>
    <t>Telef.Recepc.</t>
  </si>
  <si>
    <t>9320938-9</t>
  </si>
  <si>
    <t>OSSANDON</t>
  </si>
  <si>
    <t>CORDERO</t>
  </si>
  <si>
    <t>MARCELO OCTAVIO</t>
  </si>
  <si>
    <t>MARCELO OSSANDON CORDERO</t>
  </si>
  <si>
    <t>mossandon@pjud.cl</t>
  </si>
  <si>
    <t>12424690-3</t>
  </si>
  <si>
    <t>BARTHOLOMAUS</t>
  </si>
  <si>
    <t>HUGO ALEJANDRO MANUEL</t>
  </si>
  <si>
    <t>HUGO PACHECO BARTHOLOMAUS</t>
  </si>
  <si>
    <t>hpacheco@pjud.cl</t>
  </si>
  <si>
    <t>15710794-1</t>
  </si>
  <si>
    <t>MONARDES</t>
  </si>
  <si>
    <t>LUIS ANTONIO</t>
  </si>
  <si>
    <t>LUIS PACHECO MONARDES</t>
  </si>
  <si>
    <t>lapacheco@pjud.cl</t>
  </si>
  <si>
    <t>10691230-0</t>
  </si>
  <si>
    <t>RUTH PAMELA</t>
  </si>
  <si>
    <t>RUTH PALMA GONZALEZ</t>
  </si>
  <si>
    <t>rppalma@pjud.cl</t>
  </si>
  <si>
    <t>10439002-1</t>
  </si>
  <si>
    <t>PAPIC</t>
  </si>
  <si>
    <t>SCHNEIDER</t>
  </si>
  <si>
    <t>KARLA DOLORES</t>
  </si>
  <si>
    <t>KARLA PAPIC SCHNEIDER</t>
  </si>
  <si>
    <t>kpapic@pjud.cl</t>
  </si>
  <si>
    <t>18154230-6</t>
  </si>
  <si>
    <t>MOISES ALEJANDRO</t>
  </si>
  <si>
    <t>MOISES PARRA GONZALEZ</t>
  </si>
  <si>
    <t>mparrag@pjud.cl</t>
  </si>
  <si>
    <t>10514360-5</t>
  </si>
  <si>
    <t>JORGE ALEJANDRO</t>
  </si>
  <si>
    <t>JORGE PASTEN TAPIA</t>
  </si>
  <si>
    <t>japasten@pjud.cl</t>
  </si>
  <si>
    <t>17626887-5</t>
  </si>
  <si>
    <t>AARON KALLIKRATES</t>
  </si>
  <si>
    <t>AARON PASTEN TRUJILLO</t>
  </si>
  <si>
    <t>apasten@pjud.cl</t>
  </si>
  <si>
    <t>13329740-5</t>
  </si>
  <si>
    <t>VILLARROEL</t>
  </si>
  <si>
    <t>GONZALO ANTONIO</t>
  </si>
  <si>
    <t>GONZALO PASTEN VILLARROEL</t>
  </si>
  <si>
    <t>gpasten@pjud.cl</t>
  </si>
  <si>
    <t>14100203-1</t>
  </si>
  <si>
    <t>MARIA BELEN</t>
  </si>
  <si>
    <t>MARIA PASTEN PIZARRO</t>
  </si>
  <si>
    <t>mbpasten@pjud.cl</t>
  </si>
  <si>
    <t>11773045-K</t>
  </si>
  <si>
    <t>PEÑA</t>
  </si>
  <si>
    <t>GLORIA CAROLINA</t>
  </si>
  <si>
    <t>GLORIA PEÑA DIAZ</t>
  </si>
  <si>
    <t>gpena@pjud.cl</t>
  </si>
  <si>
    <t>12942181-9</t>
  </si>
  <si>
    <t>OLAVARRIA</t>
  </si>
  <si>
    <t>FERNANDO</t>
  </si>
  <si>
    <t>FERNANDO PEÑA OLAVARRIA</t>
  </si>
  <si>
    <t>fjpena@pjud.cl</t>
  </si>
  <si>
    <t>15660131-4</t>
  </si>
  <si>
    <t>EBENSPERGER</t>
  </si>
  <si>
    <t>MACARENA FERNANDA</t>
  </si>
  <si>
    <t>MACARENA PEÑA Y LILLO EBENSPERGER</t>
  </si>
  <si>
    <t>mpenaylillo@pjud.cl</t>
  </si>
  <si>
    <t>15639019-4</t>
  </si>
  <si>
    <t>PEREIRA</t>
  </si>
  <si>
    <t>LOBOS</t>
  </si>
  <si>
    <t>ANDRES EDUARDO</t>
  </si>
  <si>
    <t>ANDRES PEREIRA LOBOS</t>
  </si>
  <si>
    <t>aepereira@pjud.cl</t>
  </si>
  <si>
    <t>14371500-0</t>
  </si>
  <si>
    <t>EVELYN MAGDALENA</t>
  </si>
  <si>
    <t>EVELYN PEREIRA VALDIVIA</t>
  </si>
  <si>
    <t>epereira@pjud.cl</t>
  </si>
  <si>
    <t>10850445-5</t>
  </si>
  <si>
    <t>PAMELA CRISTINA</t>
  </si>
  <si>
    <t>PAMELA PEREZ JIMENEZ</t>
  </si>
  <si>
    <t>pperez@pjud.cl</t>
  </si>
  <si>
    <t>12154930-1</t>
  </si>
  <si>
    <t>ALEJANDRO LEOPOLDO</t>
  </si>
  <si>
    <t>ALEJANDRO PEREZ HERNANDEZ</t>
  </si>
  <si>
    <t>alperez@pjud.cl</t>
  </si>
  <si>
    <t>13271783-4</t>
  </si>
  <si>
    <t>CESAR PATRICIO</t>
  </si>
  <si>
    <t>CESAR PEREZ LOPEZ</t>
  </si>
  <si>
    <t>cpperez@pjud.cl</t>
  </si>
  <si>
    <t>16058102-6</t>
  </si>
  <si>
    <t>MONTINO</t>
  </si>
  <si>
    <t>CESAR HUMBERTO</t>
  </si>
  <si>
    <t>CESAR PEREZ MONTINO</t>
  </si>
  <si>
    <t>chperez@pjud.cl</t>
  </si>
  <si>
    <t>13875206-2</t>
  </si>
  <si>
    <t>CLAUDIA PEREZ FLORES</t>
  </si>
  <si>
    <t>cperezf@pjud.cl</t>
  </si>
  <si>
    <t>16162417-9</t>
  </si>
  <si>
    <t>ROMINA IVONNE</t>
  </si>
  <si>
    <t>ROMINA PEREZ BRICEÑO</t>
  </si>
  <si>
    <t>rperezb@pjud.cl</t>
  </si>
  <si>
    <t>9512313-9</t>
  </si>
  <si>
    <t>PINTO</t>
  </si>
  <si>
    <t>JIMENA SOLEDAD</t>
  </si>
  <si>
    <t>JIMENA PEREZ PINTO</t>
  </si>
  <si>
    <t>jsperez@pjud.cl</t>
  </si>
  <si>
    <t>11512512-5</t>
  </si>
  <si>
    <t>PERINES</t>
  </si>
  <si>
    <t>NIVALDO ANTONIO</t>
  </si>
  <si>
    <t>NIVALDO PERINES ESPINOZA</t>
  </si>
  <si>
    <t>nperines@pjud.cl</t>
  </si>
  <si>
    <t>9941001-9</t>
  </si>
  <si>
    <t>PERNIA</t>
  </si>
  <si>
    <t>JORGE NICOLAS ALEJANDRO</t>
  </si>
  <si>
    <t>JORGE PERNIA ALDAY</t>
  </si>
  <si>
    <t>jpernia@pjud.cl</t>
  </si>
  <si>
    <t>16579087-1</t>
  </si>
  <si>
    <t>PINNAU</t>
  </si>
  <si>
    <t>JILIBERTO</t>
  </si>
  <si>
    <t>DANIELA PINNAU JILIBERTO</t>
  </si>
  <si>
    <t>dpinnau@pjud.cl</t>
  </si>
  <si>
    <t>16594396-1</t>
  </si>
  <si>
    <t>DANIELLA ANDREA</t>
  </si>
  <si>
    <t>DANIELLA PINTO CORTES</t>
  </si>
  <si>
    <t>dapinto@pjud.cl</t>
  </si>
  <si>
    <t>10159524-2</t>
  </si>
  <si>
    <t>SOLIS</t>
  </si>
  <si>
    <t>EDGARDO ARTURO</t>
  </si>
  <si>
    <t>EDGARDO PINTO SOLIS</t>
  </si>
  <si>
    <t>epinto@pjud.cl</t>
  </si>
  <si>
    <t>15771916-5</t>
  </si>
  <si>
    <t>AVALOS</t>
  </si>
  <si>
    <t>FELIPE GONZALO</t>
  </si>
  <si>
    <t>FELIPE PIZARRO AVALOS</t>
  </si>
  <si>
    <t>fpizarro@pjud.cl</t>
  </si>
  <si>
    <t>12571906-6</t>
  </si>
  <si>
    <t>CHINGA</t>
  </si>
  <si>
    <t>CARLOS NICOLAS</t>
  </si>
  <si>
    <t>CARLOS PIZARRO CHINGA</t>
  </si>
  <si>
    <t>cnpizarro@pjud.cl</t>
  </si>
  <si>
    <t>12770116-4</t>
  </si>
  <si>
    <t>SILVIA ELENA</t>
  </si>
  <si>
    <t>SILVIA PIZARRO CISTERNAS</t>
  </si>
  <si>
    <t>sepizarro@pjud.cl</t>
  </si>
  <si>
    <t>14309482-0</t>
  </si>
  <si>
    <t>ROSE MARIE</t>
  </si>
  <si>
    <t>ROSE PIZARRO CONTRERAS</t>
  </si>
  <si>
    <t>rpizarro@pjud.cl</t>
  </si>
  <si>
    <t>15039238-1</t>
  </si>
  <si>
    <t>ELSA ALEJANDRA</t>
  </si>
  <si>
    <t>ELSA PIZARRO CORTES</t>
  </si>
  <si>
    <t>epizarro@pjud.cl</t>
  </si>
  <si>
    <t>RICARDO ANTONIO</t>
  </si>
  <si>
    <t>RICARDO PIZARRO GONZALEZ</t>
  </si>
  <si>
    <t>Mayordomo</t>
  </si>
  <si>
    <t>17037024-4</t>
  </si>
  <si>
    <t>JOSE PIZARRO RIVERA</t>
  </si>
  <si>
    <t>jlpizarro@pjud.cl</t>
  </si>
  <si>
    <t>16197453-6</t>
  </si>
  <si>
    <t>VEGLIA</t>
  </si>
  <si>
    <t>MAGDALENA SOFIA</t>
  </si>
  <si>
    <t>MAGDALENA PIZARRO VEGLIA</t>
  </si>
  <si>
    <t>mpizarrov@pjud.cl</t>
  </si>
  <si>
    <t>15672903-5</t>
  </si>
  <si>
    <t>PONCE</t>
  </si>
  <si>
    <t>HECTOR</t>
  </si>
  <si>
    <t>HECTOR PONCE AGUIRRE</t>
  </si>
  <si>
    <t>hponce@pjud.cl</t>
  </si>
  <si>
    <t>13749336-5</t>
  </si>
  <si>
    <t>PORRAS</t>
  </si>
  <si>
    <t>ZAIDA PAULINA</t>
  </si>
  <si>
    <t>ZAIDA PORRAS CARMONA</t>
  </si>
  <si>
    <t>zporras@pjud.cl</t>
  </si>
  <si>
    <t>10037853-1</t>
  </si>
  <si>
    <t>POZZI</t>
  </si>
  <si>
    <t>ANILIO</t>
  </si>
  <si>
    <t>GIANNI PAOLO</t>
  </si>
  <si>
    <t>GIANNI POZZI ANILIO</t>
  </si>
  <si>
    <t>gpozzi@pjud.cl</t>
  </si>
  <si>
    <t>secretario</t>
  </si>
  <si>
    <t>9334019-1</t>
  </si>
  <si>
    <t>POZO</t>
  </si>
  <si>
    <t>CABELLO</t>
  </si>
  <si>
    <t>OSVALDO DANIEL</t>
  </si>
  <si>
    <t>OSVALDO POZO CABELLO</t>
  </si>
  <si>
    <t>opozo@pjud.cl</t>
  </si>
  <si>
    <t>12399119-2</t>
  </si>
  <si>
    <t>PRADO</t>
  </si>
  <si>
    <t>LAURA LUISA</t>
  </si>
  <si>
    <t>LAURA PRADO CORTES</t>
  </si>
  <si>
    <t>lprado@pjud.cl</t>
  </si>
  <si>
    <t>11960698-5</t>
  </si>
  <si>
    <t>PRAT</t>
  </si>
  <si>
    <t>CAROLINA PRAT ALARCON</t>
  </si>
  <si>
    <t>cprat@pjud.cl</t>
  </si>
  <si>
    <t>13973168-9</t>
  </si>
  <si>
    <t>PREA</t>
  </si>
  <si>
    <t>ANAILE JOSELING</t>
  </si>
  <si>
    <t>ANAILE PREA JORQUERA</t>
  </si>
  <si>
    <t>aprea@pjud.cl</t>
  </si>
  <si>
    <t>Notificador</t>
  </si>
  <si>
    <t>PULGAR</t>
  </si>
  <si>
    <t>FELIPE ANDRES</t>
  </si>
  <si>
    <t>FELIPE PULGAR BRAVO</t>
  </si>
  <si>
    <t>fpulgar@pjud.cl</t>
  </si>
  <si>
    <t>13747193-0</t>
  </si>
  <si>
    <t>QUEVEDO</t>
  </si>
  <si>
    <t>CLAUDIO ANDRES</t>
  </si>
  <si>
    <t>CLAUDIO QUEVEDO ROJAS</t>
  </si>
  <si>
    <t>cquevedo@pjud.cl</t>
  </si>
  <si>
    <t>8817116-0</t>
  </si>
  <si>
    <t>QUEZADA</t>
  </si>
  <si>
    <t>LETICIA MARIA</t>
  </si>
  <si>
    <t>LETICIA QUEZADA NUÑEZ</t>
  </si>
  <si>
    <t>lmquezada@pjud.cl</t>
  </si>
  <si>
    <t>17813001-3</t>
  </si>
  <si>
    <t>QUINTANA</t>
  </si>
  <si>
    <t>YELITZA ELIANA</t>
  </si>
  <si>
    <t>YELITZA QUINTANA CASTILLO</t>
  </si>
  <si>
    <t>yquintana@pjud.cl</t>
  </si>
  <si>
    <t>13538969-2</t>
  </si>
  <si>
    <t>QUINTANILLA</t>
  </si>
  <si>
    <t xml:space="preserve">PATRICIO </t>
  </si>
  <si>
    <t>PATRICIO QUINTANILLA GALLARDO</t>
  </si>
  <si>
    <t>pquintanilla@pjud.cl</t>
  </si>
  <si>
    <t>17093697-3</t>
  </si>
  <si>
    <t>ISABEL ESMERALDA</t>
  </si>
  <si>
    <t>ISABEL RAMOS DIAZ</t>
  </si>
  <si>
    <t>iramos@pjud.cl</t>
  </si>
  <si>
    <t>16554636-9</t>
  </si>
  <si>
    <t>RASJIDO</t>
  </si>
  <si>
    <t>GUTIERREZ</t>
  </si>
  <si>
    <t>YENIFER DEL CARMEN</t>
  </si>
  <si>
    <t>YENIFER RASJIDO GUTIERREZ</t>
  </si>
  <si>
    <t>yrasjido@pjud.cl</t>
  </si>
  <si>
    <t>9483067-2</t>
  </si>
  <si>
    <t>RAVANAL</t>
  </si>
  <si>
    <t>KALERGIS</t>
  </si>
  <si>
    <t>FELIPE PATRICIO</t>
  </si>
  <si>
    <t>FELIPE RAVANAL KALERGIS</t>
  </si>
  <si>
    <t>fravanal@pjud.cl</t>
  </si>
  <si>
    <t>10925595-5</t>
  </si>
  <si>
    <t>RETAMALES</t>
  </si>
  <si>
    <t>VENEGAS</t>
  </si>
  <si>
    <t>ALICIA ANTONIA</t>
  </si>
  <si>
    <t>ALICIA RETAMALES VENEGAS</t>
  </si>
  <si>
    <t>aretamales@pjud.cl</t>
  </si>
  <si>
    <t>MAGALY ISABEL</t>
  </si>
  <si>
    <t>MAGALY RETAMALES VENEGAS</t>
  </si>
  <si>
    <t>13621823-9</t>
  </si>
  <si>
    <t>REYES</t>
  </si>
  <si>
    <t>MILLAR</t>
  </si>
  <si>
    <t>YESMY ROSSANA</t>
  </si>
  <si>
    <t>YESMY REYES MILLAR</t>
  </si>
  <si>
    <t>yreyes@pjud.cl</t>
  </si>
  <si>
    <t>8358061-5</t>
  </si>
  <si>
    <t>QUIROZ</t>
  </si>
  <si>
    <t>CARLA PATRICIA</t>
  </si>
  <si>
    <t>CARLA REYES QUIROZ</t>
  </si>
  <si>
    <t>cpreyes@pjud.cl</t>
  </si>
  <si>
    <t>17582908-3</t>
  </si>
  <si>
    <t>RIOSECO</t>
  </si>
  <si>
    <t>VILLAGRAN</t>
  </si>
  <si>
    <t>STEPHANNIE AVELINA</t>
  </si>
  <si>
    <t>STEPHANNIE RIOSECO VILLAGRAN</t>
  </si>
  <si>
    <t>srioseco@pjud.cl</t>
  </si>
  <si>
    <t>14385741-7</t>
  </si>
  <si>
    <t>PAOLA DEL CARMEN</t>
  </si>
  <si>
    <t>PAOLA RIVERA BARRAZA</t>
  </si>
  <si>
    <t>priverab@pjud.cl</t>
  </si>
  <si>
    <t>11422797-8</t>
  </si>
  <si>
    <t>CARMEN RIVERA CASTILLO</t>
  </si>
  <si>
    <t>cgrivera@pjud.cl</t>
  </si>
  <si>
    <t>11091259-5</t>
  </si>
  <si>
    <t>CHACANA</t>
  </si>
  <si>
    <t>DINA ELIANA</t>
  </si>
  <si>
    <t>DINA RIVERA CHACANA</t>
  </si>
  <si>
    <t>derivera@pjud.cl</t>
  </si>
  <si>
    <t>13650178-K</t>
  </si>
  <si>
    <t>RIOS</t>
  </si>
  <si>
    <t>TEILLIER</t>
  </si>
  <si>
    <t>MARIA ALEJANDRA</t>
  </si>
  <si>
    <t>MARIA RIOS TEILLIER</t>
  </si>
  <si>
    <t>marios@pjud.cl</t>
  </si>
  <si>
    <t>16964448-9</t>
  </si>
  <si>
    <t>ROBLES</t>
  </si>
  <si>
    <t>TWYMAN</t>
  </si>
  <si>
    <t>CONSUELO CATALINA</t>
  </si>
  <si>
    <t>CONSUELO ROBLES TWYMAN</t>
  </si>
  <si>
    <t>croblest@pjud.cl</t>
  </si>
  <si>
    <t>12620122-2</t>
  </si>
  <si>
    <t>YASMINE ELISA</t>
  </si>
  <si>
    <t>YASMINE RODRIGUEZ DIAZ</t>
  </si>
  <si>
    <t>yrodriguez@pjud.cl</t>
  </si>
  <si>
    <t>16687269-3</t>
  </si>
  <si>
    <t>PAULINA TATIANA</t>
  </si>
  <si>
    <t>PAULINA RODRIGUEZ CAMPOS</t>
  </si>
  <si>
    <t>prodriguezc@pjud.cl</t>
  </si>
  <si>
    <t>15825749-1</t>
  </si>
  <si>
    <t>ISABEL RODRIGUEZ CARVAJAL</t>
  </si>
  <si>
    <t>irodriguezc@pjud.cl</t>
  </si>
  <si>
    <t>21103249-9</t>
  </si>
  <si>
    <t>AMANTE</t>
  </si>
  <si>
    <t>ROMINA</t>
  </si>
  <si>
    <t>ROMINA ROJAS AMANTE</t>
  </si>
  <si>
    <t>rlrojasa@pjud.cl</t>
  </si>
  <si>
    <t>13746227-3</t>
  </si>
  <si>
    <t xml:space="preserve">ROJAS </t>
  </si>
  <si>
    <t>ASTORGA</t>
  </si>
  <si>
    <t>CARLOS ALBERTO</t>
  </si>
  <si>
    <t>CARLOS ROJAS ASTORGA</t>
  </si>
  <si>
    <t>carojasa@pjud.cl</t>
  </si>
  <si>
    <t>13224824-9</t>
  </si>
  <si>
    <t>NELSON ENRIQUE</t>
  </si>
  <si>
    <t>NELSON ROJAS CASTILLO</t>
  </si>
  <si>
    <t>nrojasc@pjud.cl</t>
  </si>
  <si>
    <t>10755886-1</t>
  </si>
  <si>
    <t>PEDRO ALVARO</t>
  </si>
  <si>
    <t>PEDRO ROJAS CASTRO</t>
  </si>
  <si>
    <t>parojasc@pjud.cl</t>
  </si>
  <si>
    <t>12396606-6</t>
  </si>
  <si>
    <t>CEREZO</t>
  </si>
  <si>
    <t>RAUL ALEJANDRO</t>
  </si>
  <si>
    <t>RAUL ROJAS CEREZO</t>
  </si>
  <si>
    <t>rrojasc@pjud.cl</t>
  </si>
  <si>
    <t>13760446-9</t>
  </si>
  <si>
    <t>ANDREA ALEJANDRA</t>
  </si>
  <si>
    <t>ANDREA ROJAS CORTES</t>
  </si>
  <si>
    <t>arojasc@pjud.cl</t>
  </si>
  <si>
    <t>16893239-0</t>
  </si>
  <si>
    <t>CLAUDIA ROJAS CORTES</t>
  </si>
  <si>
    <t>carojasc@pjud.cl</t>
  </si>
  <si>
    <t>17453258-3</t>
  </si>
  <si>
    <t>RICARDO</t>
  </si>
  <si>
    <t>RICARDO ROJAS CORTES</t>
  </si>
  <si>
    <t>rirojas@pjud.cl</t>
  </si>
  <si>
    <t>14313766-K</t>
  </si>
  <si>
    <t>PAZ EUGENIA</t>
  </si>
  <si>
    <t>PAZ ROJAS GUZMAN</t>
  </si>
  <si>
    <t>perojas@pjud.cl</t>
  </si>
  <si>
    <t>17998463-6</t>
  </si>
  <si>
    <t>JUAN-OLIVER</t>
  </si>
  <si>
    <t>MARIA JESUS</t>
  </si>
  <si>
    <t>MARIA ROJAS JUAN-OLIVER</t>
  </si>
  <si>
    <t>mrojasj@pjud.cl</t>
  </si>
  <si>
    <t>14296502-K</t>
  </si>
  <si>
    <t>CRISTIAN ANTONIO</t>
  </si>
  <si>
    <t>CRISTIAN ROJAS MALEBRAN</t>
  </si>
  <si>
    <t>crojasm@pjud.cl</t>
  </si>
  <si>
    <t>12945676-0</t>
  </si>
  <si>
    <t>MOYANO</t>
  </si>
  <si>
    <t>MICAL ALEJANDRA</t>
  </si>
  <si>
    <t>MICAL ROJAS MOYANO</t>
  </si>
  <si>
    <t>marojasm@pjud.cl</t>
  </si>
  <si>
    <t>7834151-3</t>
  </si>
  <si>
    <t>NOGEROL</t>
  </si>
  <si>
    <t>NORA CECILIA</t>
  </si>
  <si>
    <t>NORA ROJAS NOGEROL</t>
  </si>
  <si>
    <t>nrojasn@pjud.cl</t>
  </si>
  <si>
    <t>OLIVIER</t>
  </si>
  <si>
    <t>GIANINA GIGLIOLA MARIA</t>
  </si>
  <si>
    <t>GIANINA ROJAS OLIVIER</t>
  </si>
  <si>
    <t>10535415-0</t>
  </si>
  <si>
    <t>ROMERO</t>
  </si>
  <si>
    <t>CAMPAÑA</t>
  </si>
  <si>
    <t>EDMUNDO RICARDO</t>
  </si>
  <si>
    <t>EDMUNDO ROMERO CAMPAÑA</t>
  </si>
  <si>
    <t>erromero@pjud.cl</t>
  </si>
  <si>
    <t>13059080-2</t>
  </si>
  <si>
    <t>VASQUEZ</t>
  </si>
  <si>
    <t>JHONNY ESTEBAN</t>
  </si>
  <si>
    <t>JHONNY ROMERO VASQUEZ</t>
  </si>
  <si>
    <t xml:space="preserve"> jromerov@pjud.cl</t>
  </si>
  <si>
    <t>10994626-5</t>
  </si>
  <si>
    <t>ROSALES</t>
  </si>
  <si>
    <t>SOFIA ANDREA</t>
  </si>
  <si>
    <t>SOFIA ROSALES MARIN</t>
  </si>
  <si>
    <t>srosales@pjud.cl</t>
  </si>
  <si>
    <t>ROTTELLY</t>
  </si>
  <si>
    <t>HUGO ORLANDO</t>
  </si>
  <si>
    <t>HUGO ROTTELLY ROTTELLY</t>
  </si>
  <si>
    <t>Oficial Asistente</t>
  </si>
  <si>
    <t>15785270-1</t>
  </si>
  <si>
    <t>RUBINA</t>
  </si>
  <si>
    <t>KAREN RUBINA ASTORGA</t>
  </si>
  <si>
    <t>krubina@pjud.cl</t>
  </si>
  <si>
    <t>10806836-1</t>
  </si>
  <si>
    <t>RUBIO</t>
  </si>
  <si>
    <t>CATALAN</t>
  </si>
  <si>
    <t>JORGE ANTONIO</t>
  </si>
  <si>
    <t>JORGE RUBIO CATALAN</t>
  </si>
  <si>
    <t>jrubio@pjud.cl</t>
  </si>
  <si>
    <t>17600859-8</t>
  </si>
  <si>
    <t>MARCELA SAAVEDRA LATORRE</t>
  </si>
  <si>
    <t>masaavedra@pjud.cl</t>
  </si>
  <si>
    <t>17174778-3</t>
  </si>
  <si>
    <t>VANESSA CONSTANZA</t>
  </si>
  <si>
    <t>VANESSA SALAS ALVAREZ</t>
  </si>
  <si>
    <t>vsalas@pjud.cl</t>
  </si>
  <si>
    <t>15909714-5</t>
  </si>
  <si>
    <t>MARIA FERNANDA</t>
  </si>
  <si>
    <t>MARIA SALAZAR DONOSO</t>
  </si>
  <si>
    <t>mfsalazar@pjud.cl</t>
  </si>
  <si>
    <t>13745839-K</t>
  </si>
  <si>
    <t>ADOLFO RODRIGO</t>
  </si>
  <si>
    <t>ADOLFO SALDIVAR MIRANDA</t>
  </si>
  <si>
    <t>asaldivar@pjud.cl</t>
  </si>
  <si>
    <t>12940896-0</t>
  </si>
  <si>
    <t>CAROLINA ALEJANDRA</t>
  </si>
  <si>
    <t>CAROLINA SALINAS SALINAS</t>
  </si>
  <si>
    <t>casalinas@pjud.cl</t>
  </si>
  <si>
    <t>12446211-8</t>
  </si>
  <si>
    <t>SAN JUAN</t>
  </si>
  <si>
    <t>ANA GEORGINA</t>
  </si>
  <si>
    <t>ANA SAN JUAN CASTILLO</t>
  </si>
  <si>
    <t xml:space="preserve">asanjuan@pjud.cl </t>
  </si>
  <si>
    <t>11161237-4</t>
  </si>
  <si>
    <t>SANCHEZ</t>
  </si>
  <si>
    <t>KAREN PATRICIA</t>
  </si>
  <si>
    <t>KAREN SANCHEZ CASTILLO</t>
  </si>
  <si>
    <t>ksanchez@pjud.cl</t>
  </si>
  <si>
    <t>SANDOVAL</t>
  </si>
  <si>
    <t>MARCELA SANDOVAL DURAN</t>
  </si>
  <si>
    <t>masandoval@pjud.cl</t>
  </si>
  <si>
    <t>SANTANDER</t>
  </si>
  <si>
    <t>CHRYSLEY RUDECINDA</t>
  </si>
  <si>
    <t>CHRYSLEY SANTANDER ALFARO</t>
  </si>
  <si>
    <t>crsantander@pjud.cl</t>
  </si>
  <si>
    <t>=</t>
  </si>
  <si>
    <t>13524050-8</t>
  </si>
  <si>
    <t>SANTIBAÑEZ</t>
  </si>
  <si>
    <t>MARIA ANTONIETA</t>
  </si>
  <si>
    <t>MARIA SANTIBAÑEZ RODRIGUEZ</t>
  </si>
  <si>
    <t>msantibanezr@pjud.cl</t>
  </si>
  <si>
    <t>13076321-9</t>
  </si>
  <si>
    <t>SANTILLANA</t>
  </si>
  <si>
    <t>GIOVANETTI</t>
  </si>
  <si>
    <t>CAROL PIA</t>
  </si>
  <si>
    <t>CAROL SANTILLANA GIOVANETTI</t>
  </si>
  <si>
    <t>csantillana@pjud.cl</t>
  </si>
  <si>
    <t>15028789-8</t>
  </si>
  <si>
    <t>SARMIENTO</t>
  </si>
  <si>
    <t>VEAS</t>
  </si>
  <si>
    <t>MARIA SARMIENTO VEAS</t>
  </si>
  <si>
    <t>msarmiento@pjud.cl</t>
  </si>
  <si>
    <t>13673989-1</t>
  </si>
  <si>
    <t>SCHICHASCHWILI</t>
  </si>
  <si>
    <t>KERIMA</t>
  </si>
  <si>
    <t>KERIMA SCHICHASCHWILI CARVAJAL</t>
  </si>
  <si>
    <t>kschichaschwili@pjud.cl</t>
  </si>
  <si>
    <t>15055323-7</t>
  </si>
  <si>
    <t>SEGOVIA</t>
  </si>
  <si>
    <t>VERONICA ANDREA</t>
  </si>
  <si>
    <t>VERONICA SEGOVIA PINTO</t>
  </si>
  <si>
    <t>vsegovia@pjud.cl</t>
  </si>
  <si>
    <t>Encargado de Causas y  Sala</t>
  </si>
  <si>
    <t>10517466-7</t>
  </si>
  <si>
    <t>CAROL ANGELICA</t>
  </si>
  <si>
    <t>CAROL SEPULVEDA CARVAJAL</t>
  </si>
  <si>
    <t>csepulvedac@pjud.cl</t>
  </si>
  <si>
    <t>FONCK</t>
  </si>
  <si>
    <t>SOLEDAD MARGARITA</t>
  </si>
  <si>
    <t>SOLEDAD SEPULVEDA FONCK</t>
  </si>
  <si>
    <t>17721172-9</t>
  </si>
  <si>
    <t>LEYTON</t>
  </si>
  <si>
    <t>TITO ANDRES</t>
  </si>
  <si>
    <t>TITO SEPULVEDA LEYTON</t>
  </si>
  <si>
    <t>tasepulveda@pjud.cl</t>
  </si>
  <si>
    <t>13924641-1</t>
  </si>
  <si>
    <t xml:space="preserve">TAKAHASHI </t>
  </si>
  <si>
    <t>MARIA CAROLINA</t>
  </si>
  <si>
    <t xml:space="preserve">MARIA SEPULVEDA TAKAHASHI </t>
  </si>
  <si>
    <t>mcsepulveda@pjud.cl</t>
  </si>
  <si>
    <t>10725317-3</t>
  </si>
  <si>
    <t>ELISEO</t>
  </si>
  <si>
    <t>ELISEO SIERRA ARAYA</t>
  </si>
  <si>
    <t>esierra@pjud.cl</t>
  </si>
  <si>
    <t>19321056-2</t>
  </si>
  <si>
    <t>SEGUEL</t>
  </si>
  <si>
    <t>CATALINA ALEXANDRA</t>
  </si>
  <si>
    <t>CATALINA SIERRA SEGUEL</t>
  </si>
  <si>
    <t>casierra@pjud.cl</t>
  </si>
  <si>
    <t>16422195-4</t>
  </si>
  <si>
    <t>SILAYA</t>
  </si>
  <si>
    <t>ROMINA GABRIELA</t>
  </si>
  <si>
    <t>ROMINA SILAYA ESPINOZA</t>
  </si>
  <si>
    <t>rsilaya@pjud.cl</t>
  </si>
  <si>
    <t>SILVA</t>
  </si>
  <si>
    <t>EDUARDO IGNACIO</t>
  </si>
  <si>
    <t>EDUARDO SILVA JEREZ</t>
  </si>
  <si>
    <t>10730422-3</t>
  </si>
  <si>
    <t>ANDRES MAURICIO</t>
  </si>
  <si>
    <t>ANDRES SOLIS CASTILLO</t>
  </si>
  <si>
    <t>asolis@pjud.cl</t>
  </si>
  <si>
    <t>17790388-4</t>
  </si>
  <si>
    <t>STEFANIE MARLENE</t>
  </si>
  <si>
    <t>STEFANIE SOLIS PEREIRA</t>
  </si>
  <si>
    <t>ssolis@pjud.cl</t>
  </si>
  <si>
    <t>11347255-3</t>
  </si>
  <si>
    <t>SOMERVILLE</t>
  </si>
  <si>
    <t>TORO</t>
  </si>
  <si>
    <t>ALEJANDRA PAMELA</t>
  </si>
  <si>
    <t>ALEJANDRA SOMERVILLE TORO</t>
  </si>
  <si>
    <t>asomerville@pjud.cl</t>
  </si>
  <si>
    <t>13745903-5</t>
  </si>
  <si>
    <t xml:space="preserve">SORE </t>
  </si>
  <si>
    <t>VESNA LJUBICA</t>
  </si>
  <si>
    <t>VESNA SORE  GALLEGUILLOS</t>
  </si>
  <si>
    <t>vsore@pjud.cl</t>
  </si>
  <si>
    <t>11613831-K</t>
  </si>
  <si>
    <t>SOUZA</t>
  </si>
  <si>
    <t>SOLANGE LORENA</t>
  </si>
  <si>
    <t>SOLANGE SOUZA SEGOVIA</t>
  </si>
  <si>
    <t>ssouza@pjud.cl</t>
  </si>
  <si>
    <t>12631832-4</t>
  </si>
  <si>
    <t>SYMMES</t>
  </si>
  <si>
    <t>JUAN SYMMES ROJAS</t>
  </si>
  <si>
    <t>jsymmes@pjud.cl</t>
  </si>
  <si>
    <t>16554754-3</t>
  </si>
  <si>
    <t>PAMELA ANDREA</t>
  </si>
  <si>
    <t>PAMELA SUAREZ MALEBRAN</t>
  </si>
  <si>
    <t>psuarezm@pjud.cl</t>
  </si>
  <si>
    <t>10912620-9</t>
  </si>
  <si>
    <t>STUDER</t>
  </si>
  <si>
    <t>VALERIA ROSSANA</t>
  </si>
  <si>
    <t>VALERIA STUDER LILLO</t>
  </si>
  <si>
    <t>vstuder@pjud.cl</t>
  </si>
  <si>
    <t>16597391-7</t>
  </si>
  <si>
    <t>ROCIO ELENA</t>
  </si>
  <si>
    <t>ROCIO TABILO BARAHONA</t>
  </si>
  <si>
    <t>rtabilo@pjud.cl</t>
  </si>
  <si>
    <t>9561935-5</t>
  </si>
  <si>
    <t>ENRIQUE OCTAVIO</t>
  </si>
  <si>
    <t>ENRIQUE TABILO TAPIA</t>
  </si>
  <si>
    <t>etabilo@pjud.cl</t>
  </si>
  <si>
    <t>15674252-K</t>
  </si>
  <si>
    <t>NATALIA INES</t>
  </si>
  <si>
    <t>NATALIA TAPIA ARAYA</t>
  </si>
  <si>
    <t>nitapia@pjud.cl</t>
  </si>
  <si>
    <t>15673120-K</t>
  </si>
  <si>
    <t>ANA CAROLINA DE LA CRUZ</t>
  </si>
  <si>
    <t>ANA TAPIA AREYUNA</t>
  </si>
  <si>
    <t>actapia@pjud.cl</t>
  </si>
  <si>
    <t>15578433-4</t>
  </si>
  <si>
    <t>LILIAN ELIZABETH</t>
  </si>
  <si>
    <t>LILIAN TAPIA  CARVAJAL</t>
  </si>
  <si>
    <t>letapia@pjud.cl</t>
  </si>
  <si>
    <t>10815240-0</t>
  </si>
  <si>
    <t>PUELLES</t>
  </si>
  <si>
    <t>WALDO HERNAN</t>
  </si>
  <si>
    <t>WALDO TAPIA PUELLES</t>
  </si>
  <si>
    <t>wtapia@pjud.cl</t>
  </si>
  <si>
    <t>16385331-0</t>
  </si>
  <si>
    <t>MACHUCA</t>
  </si>
  <si>
    <t>CONSTANZA TAPIA MACHUCA</t>
  </si>
  <si>
    <t>ctapiam@pjud.cl</t>
  </si>
  <si>
    <t>14031190-1</t>
  </si>
  <si>
    <t>TERAN</t>
  </si>
  <si>
    <t>AREVALO</t>
  </si>
  <si>
    <t>ZOILA ANYELINA</t>
  </si>
  <si>
    <t>ZOILA TERAN AREVALO</t>
  </si>
  <si>
    <t>zteran@pjud.cl</t>
  </si>
  <si>
    <t>8598417-9</t>
  </si>
  <si>
    <t>TERESA  DE JESUS</t>
  </si>
  <si>
    <t>TERESA TORO CONTADOR</t>
  </si>
  <si>
    <t>ttoro@pjud.cl</t>
  </si>
  <si>
    <t>9351061-5</t>
  </si>
  <si>
    <t>ESPEJO</t>
  </si>
  <si>
    <t>LORENA MARÍA DEL PILAR</t>
  </si>
  <si>
    <t>LORENA TORO ESPEJO</t>
  </si>
  <si>
    <t>lmtoro@pjud.cl</t>
  </si>
  <si>
    <t>10515268-K</t>
  </si>
  <si>
    <t>MARTA ESTER</t>
  </si>
  <si>
    <t>MARTA TORRES DIAZ</t>
  </si>
  <si>
    <t>metorres@pjud.cl</t>
  </si>
  <si>
    <t>8512308-4</t>
  </si>
  <si>
    <t>NORAMBUENA</t>
  </si>
  <si>
    <t>CLAUDIO TORRES NORAMBUENA</t>
  </si>
  <si>
    <t>catorres@pjud.cl</t>
  </si>
  <si>
    <t>15095292-1</t>
  </si>
  <si>
    <t>TORRIJO</t>
  </si>
  <si>
    <t>JUAN PABLO</t>
  </si>
  <si>
    <t>JUAN TORRIJO ROJAS</t>
  </si>
  <si>
    <t>jtorrijo@pjud.cl</t>
  </si>
  <si>
    <t>SERGIO JAVIER</t>
  </si>
  <si>
    <t>SERGIO TRONCOSO ESPINOZA</t>
  </si>
  <si>
    <t>stroncoso@pjud.cl</t>
  </si>
  <si>
    <t>12172100-7</t>
  </si>
  <si>
    <t>ERNESTO ANTONIO</t>
  </si>
  <si>
    <t>ERNESTO TRONCOSO HENRIQUEZ</t>
  </si>
  <si>
    <t>etroncoso@pjud.cl</t>
  </si>
  <si>
    <t>12844719-9</t>
  </si>
  <si>
    <t>URQUIETA</t>
  </si>
  <si>
    <t>MARCO URQUIETA CUELLO</t>
  </si>
  <si>
    <t>murquieta@pjud.cl</t>
  </si>
  <si>
    <t>17016780-5</t>
  </si>
  <si>
    <t>JAIME ALBERTO</t>
  </si>
  <si>
    <t>JAIME ULLOA LAGOS</t>
  </si>
  <si>
    <t>julloa@pjud.cl</t>
  </si>
  <si>
    <t>16442923-7</t>
  </si>
  <si>
    <t>DIANA VALESKA</t>
  </si>
  <si>
    <t>DIANA URRUTIA ALVAREZ</t>
  </si>
  <si>
    <t>dvurrutia@pjud.cl</t>
  </si>
  <si>
    <t>15019670-1</t>
  </si>
  <si>
    <t>VALDEBENITO</t>
  </si>
  <si>
    <t>PEREZ-COTAPOS</t>
  </si>
  <si>
    <t>JAVIERA ANDREA</t>
  </si>
  <si>
    <t>JAVIERA VALDEBENITO PEREZ-COTAPOS</t>
  </si>
  <si>
    <t>javaldebenito@pjud.cl</t>
  </si>
  <si>
    <t>13188204-1</t>
  </si>
  <si>
    <t>VALDES</t>
  </si>
  <si>
    <t>ARAOS</t>
  </si>
  <si>
    <t>CAROLINA VALDES ARAOS</t>
  </si>
  <si>
    <t>cavaldes@pjud.cl</t>
  </si>
  <si>
    <t>11091511-K</t>
  </si>
  <si>
    <t>ADAROS</t>
  </si>
  <si>
    <t>ROXANA DEL CARMEN</t>
  </si>
  <si>
    <t>ROXANA VALDIVIA ADAROS</t>
  </si>
  <si>
    <t>rvaldivia@pjud.cl</t>
  </si>
  <si>
    <t>9308456-K</t>
  </si>
  <si>
    <t>VALLADARES</t>
  </si>
  <si>
    <t>CALLEJAS</t>
  </si>
  <si>
    <t>MARIA VALLADARES CALLEJAS</t>
  </si>
  <si>
    <t>mivalladares@pjud.cl</t>
  </si>
  <si>
    <t>13223644-5</t>
  </si>
  <si>
    <t>CLAUDIA VALLADARES VARELA</t>
  </si>
  <si>
    <t>cavalladares@pjud.cl</t>
  </si>
  <si>
    <t>13178472-4</t>
  </si>
  <si>
    <t>VARAS</t>
  </si>
  <si>
    <t>JUAN RODRIGO</t>
  </si>
  <si>
    <t>JUAN VARAS ADAROS</t>
  </si>
  <si>
    <t>jrvaras@pjud.cl</t>
  </si>
  <si>
    <t>15941012-9</t>
  </si>
  <si>
    <t>RICARDO ALFONSO</t>
  </si>
  <si>
    <t>RICARDO VARELA MUNDACA</t>
  </si>
  <si>
    <t>rvarela@pjud.cl</t>
  </si>
  <si>
    <t>PERALTA</t>
  </si>
  <si>
    <t>CLAUDIA JOSEFA</t>
  </si>
  <si>
    <t>CLAUDIA VARGAS PERALTA</t>
  </si>
  <si>
    <t>15038436-2</t>
  </si>
  <si>
    <t>VIVIAN</t>
  </si>
  <si>
    <t>ERICA</t>
  </si>
  <si>
    <t>ERICA VASQUEZ VIVIAN</t>
  </si>
  <si>
    <t>evasquezv@pjud.cl</t>
  </si>
  <si>
    <t>12844182-4</t>
  </si>
  <si>
    <t>OLEA</t>
  </si>
  <si>
    <t>LUIS ENRIQUE</t>
  </si>
  <si>
    <t>LUIS VEGA OLEA</t>
  </si>
  <si>
    <t>levega@pjud.cl</t>
  </si>
  <si>
    <t>13178428-7</t>
  </si>
  <si>
    <t>PILAR ALEJANDRA</t>
  </si>
  <si>
    <t>PILAR VEGA ROJAS</t>
  </si>
  <si>
    <t>pivega@pjud.cl</t>
  </si>
  <si>
    <t>10325692-5</t>
  </si>
  <si>
    <t>VELASQUEZ</t>
  </si>
  <si>
    <t>ISABEL ELENA</t>
  </si>
  <si>
    <t>ISABEL VELASQUEZ ROJAS</t>
  </si>
  <si>
    <t>ivelasquez@pjud.cl</t>
  </si>
  <si>
    <t>16109445-5</t>
  </si>
  <si>
    <t>EMILIO ENRIQUE</t>
  </si>
  <si>
    <t>EMILIO VELIZ MONDACA</t>
  </si>
  <si>
    <t>eveliz@pjud.cl</t>
  </si>
  <si>
    <t>13223396-9</t>
  </si>
  <si>
    <t>ALEJANDRA CARINA</t>
  </si>
  <si>
    <t>ALEJANDRA VERA BARAHONA</t>
  </si>
  <si>
    <t>averab@pjud.cl</t>
  </si>
  <si>
    <t>10396558-6</t>
  </si>
  <si>
    <t>GARVIZO</t>
  </si>
  <si>
    <t>JORGE LUIS</t>
  </si>
  <si>
    <t>JORGE VERA GARVIZO</t>
  </si>
  <si>
    <t>jlvera@pjud.cl</t>
  </si>
  <si>
    <t>10504135-7</t>
  </si>
  <si>
    <t>GUILLERMO OCIEL</t>
  </si>
  <si>
    <t>GUILLERMO VERGARA CAMPUSANO</t>
  </si>
  <si>
    <t>govergara@pjud.cl</t>
  </si>
  <si>
    <t>10760979-2</t>
  </si>
  <si>
    <t>MARIELLA EDELMIRA</t>
  </si>
  <si>
    <t>MARIELLA VERGARA CANALES</t>
  </si>
  <si>
    <t>mevergara@pjud.cl</t>
  </si>
  <si>
    <t>9992678-3</t>
  </si>
  <si>
    <t>DEL RIO</t>
  </si>
  <si>
    <t>CLAUDIA MARIA</t>
  </si>
  <si>
    <t>CLAUDIA VERGARA DEL RIO</t>
  </si>
  <si>
    <t>cvergara@pjud.cl</t>
  </si>
  <si>
    <t>13010340-5</t>
  </si>
  <si>
    <t>FRANCISCO JAVIER</t>
  </si>
  <si>
    <t>FRANCISCO VERGARA LOPEZ</t>
  </si>
  <si>
    <t>fjvergara@pjud.cl</t>
  </si>
  <si>
    <t>VIAL</t>
  </si>
  <si>
    <t>AGUILAR</t>
  </si>
  <si>
    <t>IVAN RODRIGO</t>
  </si>
  <si>
    <t>IVAN VIAL AGUILAR</t>
  </si>
  <si>
    <t>VIDAL</t>
  </si>
  <si>
    <t>CAROLINA ALEXANDRA</t>
  </si>
  <si>
    <t>CAROLINA VIDAL SANDOVAL</t>
  </si>
  <si>
    <t>VICENCIO</t>
  </si>
  <si>
    <t>NALDO DOMERICO</t>
  </si>
  <si>
    <t>NALDO VICENCIO TAPIA</t>
  </si>
  <si>
    <t>Administrativo Informatico</t>
  </si>
  <si>
    <t>TALCADO</t>
  </si>
  <si>
    <t>GUSTAVO EDUARDO</t>
  </si>
  <si>
    <t>GUSTAVO TALCADO VIDAL</t>
  </si>
  <si>
    <t>gvidal@pjud.cl</t>
  </si>
  <si>
    <t>Auxiliar de Aseo</t>
  </si>
  <si>
    <t>FELIPE NICOLAS</t>
  </si>
  <si>
    <t>FELIPE VILCHES CONTRERAS</t>
  </si>
  <si>
    <t>16687977-9</t>
  </si>
  <si>
    <t>MARIA FRANCISCA</t>
  </si>
  <si>
    <t>MARIA VILLALOBOS AGUIRRE</t>
  </si>
  <si>
    <t>mfvillalobos@pjud.cl</t>
  </si>
  <si>
    <t>12570919-2</t>
  </si>
  <si>
    <t>JORGE MARCELO</t>
  </si>
  <si>
    <t>JORGE VILLALOBOS HUERTA</t>
  </si>
  <si>
    <t>jmvillalobos@pjud.cl</t>
  </si>
  <si>
    <t>12420623-5</t>
  </si>
  <si>
    <t>ERIKA DEL PILAR</t>
  </si>
  <si>
    <t>ERIKA VILLARROEL NAVARRO</t>
  </si>
  <si>
    <t>evillarroel@pjud.cl</t>
  </si>
  <si>
    <t>12444184-6</t>
  </si>
  <si>
    <t>VILLEGAS</t>
  </si>
  <si>
    <t>MACUADA</t>
  </si>
  <si>
    <t>MARCELA AIDA</t>
  </si>
  <si>
    <t>MARCELA VILLEGAS MACUADA</t>
  </si>
  <si>
    <t>mvillegas@pjud.cl</t>
  </si>
  <si>
    <t>10650338-9</t>
  </si>
  <si>
    <t>VIVANCO</t>
  </si>
  <si>
    <t>UBILLO</t>
  </si>
  <si>
    <t>CARMEN SONIA</t>
  </si>
  <si>
    <t>CARMEN VIVANCO UBILLO</t>
  </si>
  <si>
    <t>cvivanco@pjud.cl</t>
  </si>
  <si>
    <t>12943420-1</t>
  </si>
  <si>
    <t>WEISHAUPT</t>
  </si>
  <si>
    <t>MILNER</t>
  </si>
  <si>
    <t>CLAUDIO WEISHAUPT MILNER</t>
  </si>
  <si>
    <t>cweishaupt@pjud.cl</t>
  </si>
  <si>
    <t>MIRIAM RUTH</t>
  </si>
  <si>
    <t>MIRIAM VELIZ CORTES</t>
  </si>
  <si>
    <t>11471582-4</t>
  </si>
  <si>
    <t>WILLIAMSON</t>
  </si>
  <si>
    <t>CARLA ELIZABETH</t>
  </si>
  <si>
    <t>CARLA WILLIAMSON BRICEÑO</t>
  </si>
  <si>
    <t>cwilliamson@pjud.cl</t>
  </si>
  <si>
    <t>13223703-4</t>
  </si>
  <si>
    <t>INGRID KATHARINA</t>
  </si>
  <si>
    <t>INGRID WILLIAMSON BRICEÑO</t>
  </si>
  <si>
    <t>iwilliamson@pjud.cl</t>
  </si>
  <si>
    <t>11893481-4</t>
  </si>
  <si>
    <t>YAÑEZ</t>
  </si>
  <si>
    <t>CLAUDIO CESAR</t>
  </si>
  <si>
    <t>CLAUDIO YAÑEZ CHAVEZ</t>
  </si>
  <si>
    <t>ccyanez@pjud.cl</t>
  </si>
  <si>
    <t>17995130-4</t>
  </si>
  <si>
    <t>YAGNAM</t>
  </si>
  <si>
    <t>JACOB</t>
  </si>
  <si>
    <t>MARIA CONSTANZA</t>
  </si>
  <si>
    <t>MARIA YAGNAM JACOB</t>
  </si>
  <si>
    <t>myagnam@pjud.cl</t>
  </si>
  <si>
    <t>15574412-K</t>
  </si>
  <si>
    <t>YURIN</t>
  </si>
  <si>
    <t>IVO NIKOLAS ANDRES</t>
  </si>
  <si>
    <t>IVO YURIN ARAYA</t>
  </si>
  <si>
    <t>iyurin@pjud.cl</t>
  </si>
  <si>
    <t>19282769-8</t>
  </si>
  <si>
    <t>ZAPATA</t>
  </si>
  <si>
    <t>IGNACIO ALEJANDRO</t>
  </si>
  <si>
    <t>IGNACIO ZAPATA POBLETE</t>
  </si>
  <si>
    <t>izapata@pjud.cl</t>
  </si>
  <si>
    <t xml:space="preserve">Auxiliar </t>
  </si>
  <si>
    <t>11612530-7</t>
  </si>
  <si>
    <t>YMIO</t>
  </si>
  <si>
    <t>PAOLA ROXANA</t>
  </si>
  <si>
    <t>PAOLA ZAMBRA YMIO</t>
  </si>
  <si>
    <t>pzambra@pjud.cl</t>
  </si>
  <si>
    <t>16189204-1</t>
  </si>
  <si>
    <t>ZARRICUETA</t>
  </si>
  <si>
    <t>JOHANNA PAOLA</t>
  </si>
  <si>
    <t>JOHANNA ZARRICUETA RIVERA</t>
  </si>
  <si>
    <t>jzarricueta@pjud.cl</t>
  </si>
  <si>
    <t>13745976-0</t>
  </si>
  <si>
    <t>VIVIANA ALEJANDRA</t>
  </si>
  <si>
    <t>VIVIANA ZEPEDA FLORES</t>
  </si>
  <si>
    <t>vzepeda@pjud.cl</t>
  </si>
  <si>
    <t>17761845-4</t>
  </si>
  <si>
    <t>DIEGO FELIPE</t>
  </si>
  <si>
    <t>DIEGO ZEPEDA PASTEN</t>
  </si>
  <si>
    <t xml:space="preserve">dzepedap@pjud.cl </t>
  </si>
  <si>
    <t>INTERINO INTERNO</t>
  </si>
  <si>
    <t>MARCELO CORTES MORENO</t>
  </si>
  <si>
    <t>INTERINO EXTERNO</t>
  </si>
  <si>
    <t>ANDREA MARTINEZ ALQUINTA</t>
  </si>
  <si>
    <t>Secretario Ejecutivo</t>
  </si>
  <si>
    <t>VICENTE BARRIOS OJEDA</t>
  </si>
  <si>
    <t xml:space="preserve"> </t>
  </si>
  <si>
    <t>SUPLENTE INTERNO</t>
  </si>
  <si>
    <t>ADMINISTRATIVO CONTABLE - UNIDAD LIQUIDACIONES</t>
  </si>
  <si>
    <t>SUPERVISOR UNIDAD LIQUIDACION</t>
  </si>
  <si>
    <t>PATRICIA NAIM VILLALOBOS</t>
  </si>
  <si>
    <t>SUPLENTE EXTERNO</t>
  </si>
  <si>
    <t>pnaim@pjud.cl</t>
  </si>
  <si>
    <t>FELIPE ARIAS SAAVEDRA</t>
  </si>
  <si>
    <t>fiarias@pjud.cl</t>
  </si>
  <si>
    <t>MVC ADMINISTRADORA ACTA 104 CORTE DE APELACIONES</t>
  </si>
  <si>
    <t>INGRID BAHAMONDE BAHAMONDE</t>
  </si>
  <si>
    <t>ibahamonde@pjud.cl</t>
  </si>
  <si>
    <t>ANDRES VEGA MARTÍNEZ</t>
  </si>
  <si>
    <t>DARINKA GLADIC MIRALLES</t>
  </si>
  <si>
    <t>cespinozam@pjud.cl</t>
  </si>
  <si>
    <t>DENISSE BRICEÑO MERY</t>
  </si>
  <si>
    <t>acarvajall@pjud.cl</t>
  </si>
  <si>
    <t>AXEL ALVAREZ JIMENEZ</t>
  </si>
  <si>
    <t>IGNACIO DIAZ ALFARO</t>
  </si>
  <si>
    <t>APOYO TRANSITORIO</t>
  </si>
  <si>
    <t>PAOLA VALENZUELA GONZALEZ</t>
  </si>
  <si>
    <t>Transitorio</t>
  </si>
  <si>
    <t>DERECHOS HUMANOS</t>
  </si>
  <si>
    <t>PAULA FRANCISCA</t>
  </si>
  <si>
    <t>PAULA ROMERO OSSANDON</t>
  </si>
  <si>
    <t>MANCILLA</t>
  </si>
  <si>
    <t>JUDITH RAQUEL</t>
  </si>
  <si>
    <t>JUDITH GUTIERREZ MANCILLA</t>
  </si>
  <si>
    <t xml:space="preserve">OLGUÍN </t>
  </si>
  <si>
    <t>PAOLO ALEJANDRO</t>
  </si>
  <si>
    <t>PAOLO OLGUÍN CASTILLO</t>
  </si>
  <si>
    <t>TERCERA SALA - OFICIR 6582</t>
  </si>
  <si>
    <t>17752405-0</t>
  </si>
  <si>
    <t>PAULINA JACQUELINE</t>
  </si>
  <si>
    <t>PAULINA ARAYA CARVAJAL</t>
  </si>
  <si>
    <t>parayac@pjud.cl</t>
  </si>
  <si>
    <t>OFICIO 17DDI N°6697-2026</t>
  </si>
  <si>
    <t>17722826-5</t>
  </si>
  <si>
    <t>RAMIREZ</t>
  </si>
  <si>
    <t>MACARENA PAZ</t>
  </si>
  <si>
    <t>MACARENA RAMIREZ MUÑOZ</t>
  </si>
  <si>
    <t>mpramirezm@pjud.cl</t>
  </si>
  <si>
    <t>18918732-7</t>
  </si>
  <si>
    <t>VERDUGO</t>
  </si>
  <si>
    <t>AMANDA VALERIA</t>
  </si>
  <si>
    <t>AMANDA VERDUGO CERDA</t>
  </si>
  <si>
    <t>averdugoc@pjud.cl</t>
  </si>
  <si>
    <t>18316925-4</t>
  </si>
  <si>
    <t>MARIA RENEE</t>
  </si>
  <si>
    <t>MARIA BRICEÑO CARVAJAL</t>
  </si>
  <si>
    <t>mbricenoc@pjud.cl</t>
  </si>
  <si>
    <t>17998980-8</t>
  </si>
  <si>
    <t>PAULINA ANDREA</t>
  </si>
  <si>
    <t>PAULINA ALVAREZ BARRAZA</t>
  </si>
  <si>
    <t>paalvarezb@pjud.cl</t>
  </si>
  <si>
    <t>17625524-2</t>
  </si>
  <si>
    <t>GALLEGOS</t>
  </si>
  <si>
    <t>CONSTANZA ISABEL</t>
  </si>
  <si>
    <t>CONSTANZA GALLEGOS GALLEGOS</t>
  </si>
  <si>
    <t xml:space="preserve"> cgallegosg@pjud.cl</t>
  </si>
  <si>
    <t>17979856-5</t>
  </si>
  <si>
    <t>CARLA LORENA</t>
  </si>
  <si>
    <t>CARLA PEÑA Y LILLO AGUILERA</t>
  </si>
  <si>
    <t>cpenaylillo@pjud.cl</t>
  </si>
  <si>
    <t>17114475-2</t>
  </si>
  <si>
    <t>ALEXANDRA MICHEL</t>
  </si>
  <si>
    <t>ALEXANDRA GUZMAN ARANCIBIA</t>
  </si>
  <si>
    <t>aguzmana@pjud.cl</t>
  </si>
  <si>
    <t>13179252-2</t>
  </si>
  <si>
    <t>ROJO</t>
  </si>
  <si>
    <t>ANA</t>
  </si>
  <si>
    <t>ANA ARAYA ROJO</t>
  </si>
  <si>
    <t>aearaya@pjud.cl</t>
  </si>
  <si>
    <t>17516947-4</t>
  </si>
  <si>
    <t>CARLA ANDREA PAZ</t>
  </si>
  <si>
    <t>CARLA MOLINA ARAYA</t>
  </si>
  <si>
    <t>capmolinaa@pjud.cl</t>
  </si>
  <si>
    <t>JUEZ DESTINADO  2026</t>
  </si>
  <si>
    <t>13746455-1</t>
  </si>
  <si>
    <t>GAMBOA</t>
  </si>
  <si>
    <t>PRISCILLA ELIZABETH</t>
  </si>
  <si>
    <t>PRISCILLA MILLA GAMBOA</t>
  </si>
  <si>
    <t>pmilla@pjud.cl</t>
  </si>
  <si>
    <t>PROYECTO CAUSAS REZAGADAS 2026</t>
  </si>
  <si>
    <t>16875034-K</t>
  </si>
  <si>
    <t xml:space="preserve">HARTMANN </t>
  </si>
  <si>
    <t>MATIAS KURT</t>
  </si>
  <si>
    <t>MATIAS HARTMANN RODRIGUEZ</t>
  </si>
  <si>
    <t>mhartmann@pjud.cl</t>
  </si>
  <si>
    <t>13357148-5</t>
  </si>
  <si>
    <t>RODRIGO ANTONIO</t>
  </si>
  <si>
    <t>RODRIGO ARAYA OLIVARES</t>
  </si>
  <si>
    <t>raraya@poderjudicial.cl</t>
  </si>
  <si>
    <t>19300832-1</t>
  </si>
  <si>
    <t>JAVIERA ALEJANDRA</t>
  </si>
  <si>
    <t>JAVIERA GONZALEZ VILLEGAS</t>
  </si>
  <si>
    <t xml:space="preserve"> jagonzalezv@pjud.cl</t>
  </si>
  <si>
    <t>18986466-3</t>
  </si>
  <si>
    <t>MARJORIE ANDREA</t>
  </si>
  <si>
    <t>MARJORIE ORELLANA RAMIREZ</t>
  </si>
  <si>
    <t>morellanar@pjud.cl</t>
  </si>
  <si>
    <t>18793175-4</t>
  </si>
  <si>
    <t>BIANCHI</t>
  </si>
  <si>
    <t>DANIELA ESTEFANIA</t>
  </si>
  <si>
    <t>DANIELA PIZARRO BIANCHI</t>
  </si>
  <si>
    <t>depizarro@pjud.cl</t>
  </si>
  <si>
    <t>18825979-0</t>
  </si>
  <si>
    <t xml:space="preserve">KAREN IVANIA </t>
  </si>
  <si>
    <t>KAREN TAPIA ARAYA</t>
  </si>
  <si>
    <t>ktapiaa@poderjudicial.cl</t>
  </si>
  <si>
    <t>18352336-8</t>
  </si>
  <si>
    <t>KEYLA ALEJANDRA</t>
  </si>
  <si>
    <t>KEYLA PERINES PEREZ</t>
  </si>
  <si>
    <t>kperines@pjud.cl</t>
  </si>
  <si>
    <t>JUEZ DESTINADO  2025</t>
  </si>
  <si>
    <t>18318099-1</t>
  </si>
  <si>
    <t>GLADIC</t>
  </si>
  <si>
    <t>MIRALLES</t>
  </si>
  <si>
    <t>DARINKA MARIJA</t>
  </si>
  <si>
    <t>dgladic@pjud.cl</t>
  </si>
  <si>
    <t>18922589-K</t>
  </si>
  <si>
    <t xml:space="preserve">ESPINOZA </t>
  </si>
  <si>
    <t>CONSTANZA BELEN</t>
  </si>
  <si>
    <t>CONSTANZA ESPINOZA MIRANDA</t>
  </si>
  <si>
    <t>16307985-2</t>
  </si>
  <si>
    <t>ALEXIS EDGARDO</t>
  </si>
  <si>
    <t>ALEXIS CARVAJAL LEYTON</t>
  </si>
  <si>
    <t>7388715-1</t>
  </si>
  <si>
    <t>CERON</t>
  </si>
  <si>
    <t>CECILIA MARGARITA</t>
  </si>
  <si>
    <t>CECILIA CERON PONCE</t>
  </si>
  <si>
    <t>cceronp@pjud.cl</t>
  </si>
  <si>
    <t>15572266-5</t>
  </si>
  <si>
    <t>ANDRADE</t>
  </si>
  <si>
    <t>VIVIANA PATRICIA</t>
  </si>
  <si>
    <t>VIVIANA ANDRADE CARVAJAL</t>
  </si>
  <si>
    <t>vpandrade@pjud.cl</t>
  </si>
  <si>
    <t>18554692-6</t>
  </si>
  <si>
    <t>FERNANDA ISABEL</t>
  </si>
  <si>
    <t>FERNANDA ALVAREZ GONZALEZ</t>
  </si>
  <si>
    <t>fialvarez@pjud.cl</t>
  </si>
  <si>
    <t>18923515-1</t>
  </si>
  <si>
    <t>JESSICA ALEJANDRA</t>
  </si>
  <si>
    <t>JESSICA ARAYA JOFRE</t>
  </si>
  <si>
    <t xml:space="preserve"> jarayaj@pjud.cl</t>
  </si>
  <si>
    <t>19662857-6</t>
  </si>
  <si>
    <t>MÜLLER</t>
  </si>
  <si>
    <t>FRANCISCO JAVIER ANDRES</t>
  </si>
  <si>
    <t>FRANCISCO RIVERA MÜLLER</t>
  </si>
  <si>
    <t>friveram@pjud.cl</t>
  </si>
  <si>
    <t>19864035-2</t>
  </si>
  <si>
    <t>MARDONES</t>
  </si>
  <si>
    <t>VALERIA MARIA FRANCISCA</t>
  </si>
  <si>
    <t>VALERIA MARDONES RODRIGUEZ</t>
  </si>
  <si>
    <t>vmardonesr@pjud.cl</t>
  </si>
  <si>
    <t>16133099-K</t>
  </si>
  <si>
    <t>BOBADILLA</t>
  </si>
  <si>
    <t>JUAN ALFONSO</t>
  </si>
  <si>
    <t>JUAN SILVA BOBADILLA</t>
  </si>
  <si>
    <t>jasilva@pjud.cl</t>
  </si>
  <si>
    <t>Asistente</t>
  </si>
  <si>
    <t>OFICIO 25AZLASER N°515-2025 CCZ</t>
  </si>
  <si>
    <t>PAXELIA LORETO</t>
  </si>
  <si>
    <t>PAXELIA HUERTA VILLALOBOS</t>
  </si>
  <si>
    <t>Administrativo</t>
  </si>
  <si>
    <t>DIRECCION DE COMUNICACIONES</t>
  </si>
  <si>
    <t xml:space="preserve">17358537-3
</t>
  </si>
  <si>
    <t xml:space="preserve">SCHÖNHERR </t>
  </si>
  <si>
    <t>KATHERINE ANDREA</t>
  </si>
  <si>
    <t>KATHERINE SCHÖNHERR CASAS</t>
  </si>
  <si>
    <t>kschonherr@pjud.cl</t>
  </si>
  <si>
    <t>MATIAS NICOLAS</t>
  </si>
  <si>
    <t>MATIAS CONTRERAS ALFARO</t>
  </si>
  <si>
    <t>mncontrerasa@poderjudicial.cl</t>
  </si>
  <si>
    <t>OFICIO 25AZLASER 233-2026 CARGO S Y P</t>
  </si>
  <si>
    <t>ESCOBAR</t>
  </si>
  <si>
    <t>IGNACIO FRANCISCO</t>
  </si>
  <si>
    <t>IGNACIO ESCOBAR ALVARADO</t>
  </si>
  <si>
    <t>16870244-2</t>
  </si>
  <si>
    <t>ALEJANDRA TORRES FLORES</t>
  </si>
  <si>
    <t>aatorres@pjud.cl</t>
  </si>
  <si>
    <t>18632568-0</t>
  </si>
  <si>
    <t>URZUA</t>
  </si>
  <si>
    <t>TORREJON</t>
  </si>
  <si>
    <t>FELIPE URZUA TORREJON</t>
  </si>
  <si>
    <t>furzuat@pjud.cl</t>
  </si>
  <si>
    <t>18757726-8</t>
  </si>
  <si>
    <t>ILLANES</t>
  </si>
  <si>
    <t>MATIAS JAVIER</t>
  </si>
  <si>
    <t>MATIAS ILLANES VASQUEZ</t>
  </si>
  <si>
    <t>millanesv@pjud.cl</t>
  </si>
  <si>
    <t>DANNIELA PAZ</t>
  </si>
  <si>
    <t>DANNIELA PIZARRO OYANEDEL</t>
  </si>
  <si>
    <t>AD-1647-2025</t>
  </si>
  <si>
    <t>CARLA FRANCISCA</t>
  </si>
  <si>
    <t>CARLA SEPULVEDA SALAZAR</t>
  </si>
  <si>
    <t>19506505-5</t>
  </si>
  <si>
    <t>UREN</t>
  </si>
  <si>
    <t>FERNANDA JAVIERA</t>
  </si>
  <si>
    <t>FERNANDA HERRERA UREN</t>
  </si>
  <si>
    <t>fherrerau@pjud.cl</t>
  </si>
  <si>
    <t>18924260-3</t>
  </si>
  <si>
    <t>SCARLET ANTONIA</t>
  </si>
  <si>
    <t>SCARLET HIDALGO ROJAS</t>
  </si>
  <si>
    <t>shidalgor@pjud.cl</t>
  </si>
  <si>
    <t>20406234-K</t>
  </si>
  <si>
    <t>ROCIO ANDREA</t>
  </si>
  <si>
    <t>ROCIO TORO ZEPEDA</t>
  </si>
  <si>
    <t>rtoro@pjud.cl</t>
  </si>
  <si>
    <t>18872841-3</t>
  </si>
  <si>
    <t>NEIRA</t>
  </si>
  <si>
    <t>VANESSA ALEXANDRA</t>
  </si>
  <si>
    <t>VANESSA NEIRA DIAZ</t>
  </si>
  <si>
    <t>vneirad@pjud.cl</t>
  </si>
  <si>
    <t>18604481-9</t>
  </si>
  <si>
    <t>CLAUDIA EMILIA</t>
  </si>
  <si>
    <t>CLAUDIA CALDERON GUERRA</t>
  </si>
  <si>
    <t>ccalderong@pjud.cl</t>
  </si>
  <si>
    <t>18682654-K</t>
  </si>
  <si>
    <t>PAVEZ</t>
  </si>
  <si>
    <t>YERKO JAVIER</t>
  </si>
  <si>
    <t>YERKO PAVEZ CABRERA</t>
  </si>
  <si>
    <t>ypavez@pjud.cl</t>
  </si>
  <si>
    <t>OFICIO 6RH N°531-2026</t>
  </si>
  <si>
    <t>19021862-7</t>
  </si>
  <si>
    <t>SERGIO JOSE MIGUEL</t>
  </si>
  <si>
    <t>SERGIO TOLEDO ARAYA</t>
  </si>
  <si>
    <t>stoledoa@pjud.cl</t>
  </si>
  <si>
    <t>OFICIO 25AZLASER 89-2026 CARGO 15%</t>
  </si>
  <si>
    <t>UNIDAD DE APOYO</t>
  </si>
  <si>
    <t>Administrativo de Actas</t>
  </si>
  <si>
    <t>UNIDAD DE APOYO A TRIBUNALES CIVILES</t>
  </si>
  <si>
    <t>PAULINA GUTIERREZ OBANDO</t>
  </si>
  <si>
    <t>CONTRATA INTERINO EXTERNO</t>
  </si>
  <si>
    <t>ZUÑIGA</t>
  </si>
  <si>
    <t>URBINA</t>
  </si>
  <si>
    <t>MARIA DANIELA</t>
  </si>
  <si>
    <t>MARIA ZUÑIGA URBINA</t>
  </si>
  <si>
    <t>mdzuniga@pjud.cl</t>
  </si>
  <si>
    <t>CENTRO NOTIFICACIONES</t>
  </si>
  <si>
    <t>ANDREA LORENA</t>
  </si>
  <si>
    <t>ANDREA MERINO MALDONADO</t>
  </si>
  <si>
    <t>Jefe de Zona</t>
  </si>
  <si>
    <t>CENTRO DE NOTIFICACIONES JUDICIALES LA SERENA</t>
  </si>
  <si>
    <t>OSVALDO RIGOBERTO</t>
  </si>
  <si>
    <t>OSVALDO HIDALGO OSSANDON</t>
  </si>
  <si>
    <t>ohidalgo@pjud.cl</t>
  </si>
  <si>
    <t>HERMOSILLA</t>
  </si>
  <si>
    <t>PAOLA</t>
  </si>
  <si>
    <t>PAOLA CALDERON HERMOSILLA</t>
  </si>
  <si>
    <t>pacalderonh@pjud.cl</t>
  </si>
  <si>
    <t xml:space="preserve">CENTRO NOTIFICACIONES </t>
  </si>
  <si>
    <t>ALEX IVAN</t>
  </si>
  <si>
    <t>ALEX MALDONADO DONOSO</t>
  </si>
  <si>
    <t>amaldonadod@pjud.cl</t>
  </si>
  <si>
    <t>MARIA GALVEZ GODOY</t>
  </si>
  <si>
    <t>mgalvez@pjud.cl</t>
  </si>
  <si>
    <t>MUNIZAGA</t>
  </si>
  <si>
    <t>NICOLE LAURA MONTSERRAT</t>
  </si>
  <si>
    <t>NICOLE MUNIZAGA RAMIREZ</t>
  </si>
  <si>
    <t>nlmunizaga@pjud.cl</t>
  </si>
  <si>
    <t>NAREA</t>
  </si>
  <si>
    <t>FARIÑAS</t>
  </si>
  <si>
    <t>LORENA DEL PILAR</t>
  </si>
  <si>
    <t>LORENA NAREA FARIÑAS</t>
  </si>
  <si>
    <t>lnarea@pjud.cl</t>
  </si>
  <si>
    <t>FREDES</t>
  </si>
  <si>
    <t>PATRICIO JAVIER</t>
  </si>
  <si>
    <t>PATRICIO FREDES ALVAREZ</t>
  </si>
  <si>
    <t>pjfredes@pjud.cl</t>
  </si>
  <si>
    <t>MELENDEZ</t>
  </si>
  <si>
    <t>IVONNE</t>
  </si>
  <si>
    <t>IVONNE MELENDEZ MELENDEZ</t>
  </si>
  <si>
    <t>imelendez@pjud.cl</t>
  </si>
  <si>
    <t>UNIDAD DE LIQUIDACIONES</t>
  </si>
  <si>
    <t>PATRICIO RICARDO</t>
  </si>
  <si>
    <t>PATRICIO VARGAS AGUIRRE</t>
  </si>
  <si>
    <t>pvargas@pjud.cl</t>
  </si>
  <si>
    <t>Supervisor</t>
  </si>
  <si>
    <t>UNIDAD DE LIQUIDACIONES ESPECIALIZADAS DE LA SERENA</t>
  </si>
  <si>
    <t>TAHA</t>
  </si>
  <si>
    <t>NICOLAS FRANCISCO</t>
  </si>
  <si>
    <t>NICOLAS CACERES TAHA</t>
  </si>
  <si>
    <t>ncacerest@pjud.cl</t>
  </si>
  <si>
    <t>DANIELA PAOLA</t>
  </si>
  <si>
    <t>DANIELA CORTES HONORES</t>
  </si>
  <si>
    <t>dcortesh@pjud.cl</t>
  </si>
  <si>
    <t>ALEXIS FABIAN</t>
  </si>
  <si>
    <t>ALEXIS PEREZ CORTES</t>
  </si>
  <si>
    <t>aperezc@pjud.cl</t>
  </si>
  <si>
    <t>LETELIER</t>
  </si>
  <si>
    <t>NATALIA SUSANA</t>
  </si>
  <si>
    <t>NATALIA CAMPOS LETELIER</t>
  </si>
  <si>
    <t>ncamposl@pjud.cl</t>
  </si>
  <si>
    <t>MARZAL</t>
  </si>
  <si>
    <t>FRANCISCO ANTONIO</t>
  </si>
  <si>
    <t>FRANCISCO TAPIA MARZAL</t>
  </si>
  <si>
    <t>fatapia@pjud.cl</t>
  </si>
  <si>
    <t>ADAOS</t>
  </si>
  <si>
    <t>KEVIN PATRICIO</t>
  </si>
  <si>
    <t>kfloresa@pjud.cl</t>
  </si>
  <si>
    <t>RITA PAOLA</t>
  </si>
  <si>
    <t>RITA GONZALEZ GONZALEZ</t>
  </si>
  <si>
    <t>rpgonzalezg@pjud.cl</t>
  </si>
  <si>
    <t>MENESES</t>
  </si>
  <si>
    <t>EMERSON FALCAO</t>
  </si>
  <si>
    <t>EMERSON MENESES ARDILES</t>
  </si>
  <si>
    <t>efmeneses@pjud.cl</t>
  </si>
  <si>
    <t>NATHALY LISSETT</t>
  </si>
  <si>
    <t>NATHALY ROJAS SILVA</t>
  </si>
  <si>
    <t>nrojass@pjud.cl</t>
  </si>
  <si>
    <t>YASNA</t>
  </si>
  <si>
    <t>YASNA GUTIERREZ GUZMAN</t>
  </si>
  <si>
    <t>ygutierrezg@pjud.cl</t>
  </si>
  <si>
    <t>CENTRO FAMILIA</t>
  </si>
  <si>
    <t>COLLIO</t>
  </si>
  <si>
    <t>ALVARO ANDRES</t>
  </si>
  <si>
    <t>ALVARO MUÑOZ COLLIO</t>
  </si>
  <si>
    <t>CENTRO DE OBSERVACION Y CONTROL DE FAMILIA DE LA SERENA</t>
  </si>
  <si>
    <t>CLAUDIA JACQUELINE</t>
  </si>
  <si>
    <t>CLAUDIA TORRES MOLINA</t>
  </si>
  <si>
    <t>cjtorres@pjud.cl</t>
  </si>
  <si>
    <t>ELIZABETH CAMILA</t>
  </si>
  <si>
    <t>ELIZABETH GUTIERREZ ALVAREZ</t>
  </si>
  <si>
    <t>egutierreza@pjud.cl</t>
  </si>
  <si>
    <t>DANIELA</t>
  </si>
  <si>
    <t>DANIELA LATORRE CARRASCO</t>
  </si>
  <si>
    <t>dlatorre@pjud.cl</t>
  </si>
  <si>
    <t xml:space="preserve">18352710-K
18352710-K
</t>
  </si>
  <si>
    <t>CORTÉS</t>
  </si>
  <si>
    <t>CLAUDIA DANIELA</t>
  </si>
  <si>
    <t>CLAUDIA CORTES OLIVARES</t>
  </si>
  <si>
    <t xml:space="preserve">cdcorteso@pjud.cl
</t>
  </si>
  <si>
    <t>PIA LORETO</t>
  </si>
  <si>
    <t>PIA GALVEZ PEREZ</t>
  </si>
  <si>
    <t>pgalvez@pjud.cl</t>
  </si>
  <si>
    <t>CAROLINA TORO RIVERA</t>
  </si>
  <si>
    <t>catoro@pjud.cl</t>
  </si>
  <si>
    <t>CAPJ ZONAL LA SERENA</t>
  </si>
  <si>
    <t>13324644-4</t>
  </si>
  <si>
    <t>LEOPOLDO</t>
  </si>
  <si>
    <t>LEOPOLDO AGUILAR AGUILAR</t>
  </si>
  <si>
    <t>laguilar@pjud.cl</t>
  </si>
  <si>
    <t>Administrativo de Mantenimiento</t>
  </si>
  <si>
    <t>CAPJ Zonal La Serena</t>
  </si>
  <si>
    <t>12843511-5</t>
  </si>
  <si>
    <t>JUAN ALCIDES</t>
  </si>
  <si>
    <t>JUAN ALFARO CORTES</t>
  </si>
  <si>
    <t>jalfaro@pjud.cl</t>
  </si>
  <si>
    <t>12221014-6</t>
  </si>
  <si>
    <t>CARMEN CALDERON GALLEGUILLOS</t>
  </si>
  <si>
    <t>ccalderon@pjud.cl</t>
  </si>
  <si>
    <t>Encargada de Personal</t>
  </si>
  <si>
    <t>12942923-2</t>
  </si>
  <si>
    <t>KAREM  ALEJANDRA</t>
  </si>
  <si>
    <t>KAREM CHIRINO ARAYA</t>
  </si>
  <si>
    <t>kchirino@pjud.cl</t>
  </si>
  <si>
    <t>Encargada de Bienestar</t>
  </si>
  <si>
    <t>13749817-0</t>
  </si>
  <si>
    <t>PATRICIO</t>
  </si>
  <si>
    <t>PATRICIO CORTES CASTRO</t>
  </si>
  <si>
    <t>pcortesc@pjud.cl</t>
  </si>
  <si>
    <t>13223381-0</t>
  </si>
  <si>
    <t>WILLIAMS ALFREDO</t>
  </si>
  <si>
    <t>WILLIAMS DIAZ ALDAY</t>
  </si>
  <si>
    <t>wdiaza@pjud.cl</t>
  </si>
  <si>
    <t>Encargado de Remuneraciones</t>
  </si>
  <si>
    <t>17277412-1</t>
  </si>
  <si>
    <t>DUBO</t>
  </si>
  <si>
    <t>MARIA DE LOS ANGELES</t>
  </si>
  <si>
    <t>MARIA FAJARDO DUBO</t>
  </si>
  <si>
    <t>mfajardo@pjud.cl</t>
  </si>
  <si>
    <t>16443322-6</t>
  </si>
  <si>
    <t>GUAMAN</t>
  </si>
  <si>
    <t>WILSON</t>
  </si>
  <si>
    <t>WILSON FLORES GUAMAN</t>
  </si>
  <si>
    <t>wflores@pjud.cl</t>
  </si>
  <si>
    <t>Administrativo de Finanzas</t>
  </si>
  <si>
    <t>10302429-3</t>
  </si>
  <si>
    <t>GAHONA</t>
  </si>
  <si>
    <t>VERONICA ERMELINA</t>
  </si>
  <si>
    <t>VERONICA GAHONA RAMIREZ</t>
  </si>
  <si>
    <t>vegahona@pjud.cl</t>
  </si>
  <si>
    <t>Bodeguero</t>
  </si>
  <si>
    <t>13745760-1</t>
  </si>
  <si>
    <t>RODRIGO GONZALEZ LOPEZ</t>
  </si>
  <si>
    <t>rgonzalezl@pjud.cl</t>
  </si>
  <si>
    <t>Administrativo de Contabilidad</t>
  </si>
  <si>
    <t>9334539-8</t>
  </si>
  <si>
    <t>HARRIS</t>
  </si>
  <si>
    <t>BORDONES</t>
  </si>
  <si>
    <t>HENRY LUIS</t>
  </si>
  <si>
    <t>HENRY HARRIS BORDONES</t>
  </si>
  <si>
    <t>hharris@pjud.cl</t>
  </si>
  <si>
    <t>Administrador Zonal</t>
  </si>
  <si>
    <t>12572203-2</t>
  </si>
  <si>
    <t>IRARRAZABAL</t>
  </si>
  <si>
    <t>MARIA XIMENA</t>
  </si>
  <si>
    <t>MARIA IRARRAZABAL GALVEZ</t>
  </si>
  <si>
    <t>mirarrazabal@pjud.cl</t>
  </si>
  <si>
    <t>Secretaria</t>
  </si>
  <si>
    <t>13224902-4</t>
  </si>
  <si>
    <t>LABRA</t>
  </si>
  <si>
    <t>LESLY KAREN</t>
  </si>
  <si>
    <t>LESLY LABRA DIAZ</t>
  </si>
  <si>
    <t>llabra@pjud.cl</t>
  </si>
  <si>
    <t>Administrativo de Adquisiciones</t>
  </si>
  <si>
    <t>9029079-7</t>
  </si>
  <si>
    <t>CARLOS MENESES ROJAS</t>
  </si>
  <si>
    <t>cfmeneses@pjud.cl</t>
  </si>
  <si>
    <t>Administrativo de Remuneraciones</t>
  </si>
  <si>
    <t>13826691-5</t>
  </si>
  <si>
    <t>ALVARO FRANCISCO</t>
  </si>
  <si>
    <t>ALVARO MIRANDA PASTEN</t>
  </si>
  <si>
    <t>afmiranda@pjud.cl</t>
  </si>
  <si>
    <t>Profesional</t>
  </si>
  <si>
    <t>11508738-K</t>
  </si>
  <si>
    <t>ERIC VALENTE</t>
  </si>
  <si>
    <t>ERIC MOLINA AVALOS</t>
  </si>
  <si>
    <t>evmolina@pjud.cl</t>
  </si>
  <si>
    <t>Administrativo de Tesoreria</t>
  </si>
  <si>
    <t>18826898-6</t>
  </si>
  <si>
    <t>MALUENDA</t>
  </si>
  <si>
    <t>DANIELA FRANCISCA</t>
  </si>
  <si>
    <t>DANIELA MUÑOZ MALUENDA</t>
  </si>
  <si>
    <t>dfmunoz@pjud.cl</t>
  </si>
  <si>
    <t>Tecnico Juridico</t>
  </si>
  <si>
    <t>10853793-0</t>
  </si>
  <si>
    <t>SAMUEL ALBINO</t>
  </si>
  <si>
    <t>SAMUEL MUÑOZ BUGUEÑO</t>
  </si>
  <si>
    <t>smunozb@pjud.cl</t>
  </si>
  <si>
    <t>Conductor</t>
  </si>
  <si>
    <t>18752011-8</t>
  </si>
  <si>
    <t>QUIROGA</t>
  </si>
  <si>
    <t>JAVIER NICOLAS</t>
  </si>
  <si>
    <t>JAVIER QUIROGA VILLALOBOS</t>
  </si>
  <si>
    <t>jnquiroga@pjud.cl</t>
  </si>
  <si>
    <t>Administrativo Informático</t>
  </si>
  <si>
    <t>12577874-7</t>
  </si>
  <si>
    <t>MARIO EDUARDO</t>
  </si>
  <si>
    <t>MARIO RAMIREZ FERNANDEZ</t>
  </si>
  <si>
    <t>mramirezf@pjud.cl</t>
  </si>
  <si>
    <t>Jefe de Sección Adquisiciones y Mantenimiento</t>
  </si>
  <si>
    <t>14098636-4</t>
  </si>
  <si>
    <t>ALEX ALEJANDRO</t>
  </si>
  <si>
    <t>ALEX ROJAS AHUMADA</t>
  </si>
  <si>
    <t>aarojas@pjud.cl</t>
  </si>
  <si>
    <t>Jefe de Sección Recursos Humanos</t>
  </si>
  <si>
    <t>19950033-3</t>
  </si>
  <si>
    <t>ARQUEROS</t>
  </si>
  <si>
    <t>ANTONELLA VALESKA</t>
  </si>
  <si>
    <t>ANTONELLA ARQUEROS ROJAS</t>
  </si>
  <si>
    <t>aarqueros@pjud.cl</t>
  </si>
  <si>
    <t>Asistente de Personal</t>
  </si>
  <si>
    <t>12805473-1</t>
  </si>
  <si>
    <t>ROBERT CRISTIAN</t>
  </si>
  <si>
    <t>ROBERT SUAREZ ROJAS</t>
  </si>
  <si>
    <t>rsuarez@pjud.cl</t>
  </si>
  <si>
    <t>Encargado Informatico</t>
  </si>
  <si>
    <t>11936544-9</t>
  </si>
  <si>
    <t>HERNAN JAVIER</t>
  </si>
  <si>
    <t>HERNAN VARAS CONTRERAS</t>
  </si>
  <si>
    <t>hvaras@pjud.cl</t>
  </si>
  <si>
    <t>Administrativo de Personal</t>
  </si>
  <si>
    <t>13761367-0</t>
  </si>
  <si>
    <t>PABLO JAVIER</t>
  </si>
  <si>
    <t>PABLO VEGA FLORES</t>
  </si>
  <si>
    <t>pjvega@pjud.cl</t>
  </si>
  <si>
    <t>10891183-2</t>
  </si>
  <si>
    <t>WALTON</t>
  </si>
  <si>
    <t>ROBERT GERALD</t>
  </si>
  <si>
    <t>ROBERT WALTON MIRANDA</t>
  </si>
  <si>
    <t>rwalton@pjud.cl</t>
  </si>
  <si>
    <t>Jefe de Seccion Finanzas y Presupuestos</t>
  </si>
  <si>
    <t>10134851-2</t>
  </si>
  <si>
    <t>CARLOS SEBASTIAN</t>
  </si>
  <si>
    <t>CARLOS ACUÑA CERDA</t>
  </si>
  <si>
    <t>cacunac@pjud.cl</t>
  </si>
  <si>
    <t>Asistente de Cuentas Corrientes</t>
  </si>
  <si>
    <t>Monitor de Sistemas Informaticos</t>
  </si>
  <si>
    <t>DANIELA MUÑOZ MALUENDA INTERINA POR LORENA</t>
  </si>
  <si>
    <t>Auditor</t>
  </si>
  <si>
    <t>17251405-7</t>
  </si>
  <si>
    <t>DANIELA ACUÑA PRADO</t>
  </si>
  <si>
    <t>dfacuna@pjud.cl</t>
  </si>
  <si>
    <t>Prevencionista de riesgo</t>
  </si>
  <si>
    <t>Administrativo de Informática</t>
  </si>
  <si>
    <t>16709942-4</t>
  </si>
  <si>
    <t>BUSTAMANTE</t>
  </si>
  <si>
    <t>IGNACIO ANDRES</t>
  </si>
  <si>
    <t>IGNACIO VALENZUELA BUSTAMANTE</t>
  </si>
  <si>
    <t>ivalenzuelab@pjud.cl</t>
  </si>
  <si>
    <t>Administrativo Control de Gestión</t>
  </si>
  <si>
    <t>Administrativo de RR.HH.</t>
  </si>
  <si>
    <t>17295841-9</t>
  </si>
  <si>
    <t>MENDEZ</t>
  </si>
  <si>
    <t>AZOLAS</t>
  </si>
  <si>
    <t>LILIANA ALEJANDRA</t>
  </si>
  <si>
    <t>LILIANA MENDEZ AZOLAS</t>
  </si>
  <si>
    <t>lmendez@pjud.cl</t>
  </si>
  <si>
    <t>Contrata Suplente</t>
  </si>
  <si>
    <t>POR ANTONELLA ROJAS ARQUEROS</t>
  </si>
  <si>
    <t>POR VERONICA GAHONA RAMIREZ</t>
  </si>
  <si>
    <t>16249601-8</t>
  </si>
  <si>
    <t>ROBERTO JAVIER</t>
  </si>
  <si>
    <t>ROBERTO TOLEDO DIAZ</t>
  </si>
  <si>
    <t>rjtoledo@pjud.cl</t>
  </si>
  <si>
    <t>Suplente Externo</t>
  </si>
  <si>
    <t>POR STEFANIE SOLIS PEREIRA</t>
  </si>
  <si>
    <t>Suplente Interno</t>
  </si>
  <si>
    <t>POR JUAN LAGOS LOPEZ</t>
  </si>
  <si>
    <t xml:space="preserve">cquevedo@pjud.cl </t>
  </si>
  <si>
    <t>POR ALEXIS PERES CORTES</t>
  </si>
  <si>
    <t>16054669-7</t>
  </si>
  <si>
    <t>FELIPE IGNACIO</t>
  </si>
  <si>
    <t>POR CAROLA ARENA GUERRA</t>
  </si>
  <si>
    <t>14229986-0</t>
  </si>
  <si>
    <t>BAHAMONDE</t>
  </si>
  <si>
    <t>INGRID KARINA</t>
  </si>
  <si>
    <t>POR MIRIAM VELIZ CORTES</t>
  </si>
  <si>
    <t>21418498-2</t>
  </si>
  <si>
    <t>MABEL FERNANDA</t>
  </si>
  <si>
    <t>MABEL GALLARDO ARAYA</t>
  </si>
  <si>
    <t>mgallardoa@pjud.cl</t>
  </si>
  <si>
    <t>POR CLAUDIO QUEVEDO ROJAS</t>
  </si>
  <si>
    <t>20092790-7</t>
  </si>
  <si>
    <t>STEPHANIA IGNACIA</t>
  </si>
  <si>
    <t>STEPHANIA ARAYA ALBURQUENQUE</t>
  </si>
  <si>
    <t>sarayaa@pjud.cl</t>
  </si>
  <si>
    <t>Contrata Suplente Externo</t>
  </si>
  <si>
    <t>POR BEATRIZ BRAVO MOYA</t>
  </si>
  <si>
    <t>18632512-5</t>
  </si>
  <si>
    <t>PIA FRANCISCA</t>
  </si>
  <si>
    <t>PIA HERNANDEZ ALVAREZ</t>
  </si>
  <si>
    <t>pfhernandeza@pjud.cl</t>
  </si>
  <si>
    <t>Contrata Suplente Acta 19</t>
  </si>
  <si>
    <t>POR GABRIELA HERNANDEZ TRONCOSO</t>
  </si>
  <si>
    <t>20167805-6</t>
  </si>
  <si>
    <t>PATRICIA VALERIA DE LOURDES</t>
  </si>
  <si>
    <t>PATRICIA MUÑOZ CALDERON</t>
  </si>
  <si>
    <t>pvmunozc@pjud.cl</t>
  </si>
  <si>
    <t>POR TITO SEPULVEDA LEYTON</t>
  </si>
  <si>
    <t>POR CAMILA MARIN LARGO</t>
  </si>
  <si>
    <t>15426920-7</t>
  </si>
  <si>
    <t>MARROQUIN</t>
  </si>
  <si>
    <t>PEDRO MAXIMO</t>
  </si>
  <si>
    <t>PEDRO MARROQUIN ORTIZ</t>
  </si>
  <si>
    <t>pmarroquin@pjud.cl</t>
  </si>
  <si>
    <t>POR RODRIGO JULIO PEREZ</t>
  </si>
  <si>
    <t>POR ADRES PEREIRA LOBOS</t>
  </si>
  <si>
    <t>17887952-9</t>
  </si>
  <si>
    <t xml:space="preserve">VILLALNUEVA </t>
  </si>
  <si>
    <t>VIVIANA CAROLINA</t>
  </si>
  <si>
    <t>VIVIANA VILLANUEVA CASTILLO</t>
  </si>
  <si>
    <t>vvillanueva@pjud.cl</t>
  </si>
  <si>
    <t>POR VALERIA ARAYA VERGARA</t>
  </si>
  <si>
    <t>MARIA TERESA</t>
  </si>
  <si>
    <t>MARIA SEGOVIA ARAYA</t>
  </si>
  <si>
    <t>mtsegovia@pjud.cl</t>
  </si>
  <si>
    <t>POR CAROLINA TORO RIVERA</t>
  </si>
  <si>
    <t>POR YENIFER RASJIDO GUTIERREZ</t>
  </si>
  <si>
    <t>16908945-0</t>
  </si>
  <si>
    <t>AVILES</t>
  </si>
  <si>
    <t>BRIAN ALBERTO</t>
  </si>
  <si>
    <t>BRIAN ULLOA AVILES</t>
  </si>
  <si>
    <t>bulloaa@pjud.cl</t>
  </si>
  <si>
    <t>POR CARMEN JIMENEZ VEGA</t>
  </si>
  <si>
    <t>16054229-2</t>
  </si>
  <si>
    <t>PAULINA ANTONIA</t>
  </si>
  <si>
    <t>PAULINA JORQUERA GALLEGUILLOS</t>
  </si>
  <si>
    <t>pajorquera@pjud.cl</t>
  </si>
  <si>
    <t>POR YELITZA QUINTANA CASTILLO</t>
  </si>
  <si>
    <t>18689519-3</t>
  </si>
  <si>
    <t>IGNACIO NICOLAS</t>
  </si>
  <si>
    <t>indiaz@pjud.cl</t>
  </si>
  <si>
    <t>POR MARIA CORTES CASTRO</t>
  </si>
  <si>
    <t>17713964-5</t>
  </si>
  <si>
    <t>ARENA</t>
  </si>
  <si>
    <t>PRISCILLA LORENA</t>
  </si>
  <si>
    <t>PRISCILLA CASTILLO ARENA</t>
  </si>
  <si>
    <t>plcastilloa@pjud.cl</t>
  </si>
  <si>
    <t>POR CAROLINA SALINAS SALINAS</t>
  </si>
  <si>
    <t>19824867-3</t>
  </si>
  <si>
    <t>AXEL ANTONIO</t>
  </si>
  <si>
    <t>aalvarezj@pjud.cl</t>
  </si>
  <si>
    <t>POR CARLOS CUADRA CONTRERAS</t>
  </si>
  <si>
    <t>POR MARIA LAFUENTE GAJARDO</t>
  </si>
  <si>
    <t>POR MAGDALENA PIZARRO VEGLIA</t>
  </si>
  <si>
    <t>17525132-4</t>
  </si>
  <si>
    <t>ILABACA</t>
  </si>
  <si>
    <t>MATIAS ILABACA MORALES</t>
  </si>
  <si>
    <t>milabaca@pjud.cl</t>
  </si>
  <si>
    <t>Administrador</t>
  </si>
  <si>
    <t>POR CARLA WILLIAMSON BRICEÑO</t>
  </si>
  <si>
    <t>13012726-6</t>
  </si>
  <si>
    <t>MORENO</t>
  </si>
  <si>
    <t>MARCELO ANDRES</t>
  </si>
  <si>
    <t>mcortesm@pjud.cl</t>
  </si>
  <si>
    <t>POR ALEJANDRA CORVALAN HELBIG</t>
  </si>
  <si>
    <t>POR DANIELLA PINTO CORTES</t>
  </si>
  <si>
    <t>18022097-6</t>
  </si>
  <si>
    <t>BRUNA</t>
  </si>
  <si>
    <t>FRANCISCA ISIDORA</t>
  </si>
  <si>
    <t>FRANCISCA MUÑOZ BRUNA</t>
  </si>
  <si>
    <t>fmunozb@pjud.cl</t>
  </si>
  <si>
    <t>POR PAOLA CORTES TAPIA</t>
  </si>
  <si>
    <t>POR SAMANTHA BLANCO GUZMAN</t>
  </si>
  <si>
    <t>POR DARIO DIAZ PEÑA Y LILLO</t>
  </si>
  <si>
    <t>POR CAROL AHUMADA ZEPEDA</t>
  </si>
  <si>
    <t>13974445-4</t>
  </si>
  <si>
    <t>PEDRO ANTONIO</t>
  </si>
  <si>
    <t>PEDRO YAÑEZ DIAZ</t>
  </si>
  <si>
    <t>pyanezd@pjud.cl</t>
  </si>
  <si>
    <t>POR YASMINE RODRIGUEZ DIAZ</t>
  </si>
  <si>
    <t>20007448-3</t>
  </si>
  <si>
    <t>MERY</t>
  </si>
  <si>
    <t>DENISSE ANDREA</t>
  </si>
  <si>
    <t>dbriceno@pjud.cl</t>
  </si>
  <si>
    <t>POR JORGE PERNIA ALDAY</t>
  </si>
  <si>
    <t>19301604-9</t>
  </si>
  <si>
    <t>MONARDEZ</t>
  </si>
  <si>
    <t>XIOMARA EBEL</t>
  </si>
  <si>
    <t>XIOMARA MONARDEZ ARAYA</t>
  </si>
  <si>
    <t>xmonardez@pjud.cl</t>
  </si>
  <si>
    <t>POR CLAUDIA ALVAREZ DIAZ</t>
  </si>
  <si>
    <t>POR ALVARO MUÑOZ COLLIO</t>
  </si>
  <si>
    <t>16995634-0</t>
  </si>
  <si>
    <t>PAOLA AN DREA</t>
  </si>
  <si>
    <t>PAOLA RAMIREZ RAMIREZ</t>
  </si>
  <si>
    <t>paramirezra@pjud.cl</t>
  </si>
  <si>
    <t>POR JENNIFER ESTEFANIA GUERRERO</t>
  </si>
  <si>
    <t>19944916-8</t>
  </si>
  <si>
    <t>MANUEL IGNACIO</t>
  </si>
  <si>
    <t>MANUEL CABRERA VARAS</t>
  </si>
  <si>
    <t>mcabrerav@pjud.cl</t>
  </si>
  <si>
    <t>POR DIANA URRUTIA ALVAREZ</t>
  </si>
  <si>
    <t>OBANDO</t>
  </si>
  <si>
    <t>PAULINA DENISSE</t>
  </si>
  <si>
    <t>POR ROSA CORTES DE MONROY BARRIOS</t>
  </si>
  <si>
    <t>POR CAROLINA MARCHANT ROJAS</t>
  </si>
  <si>
    <t>POR ELSA PIZARRO CORTES</t>
  </si>
  <si>
    <t>LIA VICTORIA</t>
  </si>
  <si>
    <t>LIA FLORES VELASQUEZ</t>
  </si>
  <si>
    <t>POR SONIA CAIMANQUE ARAYA</t>
  </si>
  <si>
    <t>17740873-5</t>
  </si>
  <si>
    <t>URIBE</t>
  </si>
  <si>
    <t>REYNELLA GABRIELA</t>
  </si>
  <si>
    <t>REYNELLA URIBE SEPULVEDA</t>
  </si>
  <si>
    <t>ruribes@poderjudicial.cl</t>
  </si>
  <si>
    <t>POR NATACHA CORTES CORTES</t>
  </si>
  <si>
    <t>18477828-9</t>
  </si>
  <si>
    <t>COX</t>
  </si>
  <si>
    <t>JAZMIN ISABEL</t>
  </si>
  <si>
    <t>JAZMIN COX GONZALEZ</t>
  </si>
  <si>
    <t>jcox@pjud.cl</t>
  </si>
  <si>
    <t>POR CAROLINA GOMEZ ROJAS</t>
  </si>
  <si>
    <t>POR CAMILA ALVAREZ LENOIR</t>
  </si>
  <si>
    <t>POR SANDRA JAURIAT MOYA</t>
  </si>
  <si>
    <t>POR CAROL CAMPOS SALAS</t>
  </si>
  <si>
    <t>POR DIEGO ZEPEDA PASTEN</t>
  </si>
  <si>
    <t>POR ALFONSO MOYA PACHECO</t>
  </si>
  <si>
    <t>POR KARLA MALEBRAN TORRES</t>
  </si>
  <si>
    <t>12783292-7</t>
  </si>
  <si>
    <t>GUICELA NOEMI</t>
  </si>
  <si>
    <t>GUICELA RIVERA BRAVO</t>
  </si>
  <si>
    <t>gnrivera@pjud.cl</t>
  </si>
  <si>
    <t>POR ALEJANDRA VERA BARAHONA</t>
  </si>
  <si>
    <t xml:space="preserve">TAPIA </t>
  </si>
  <si>
    <t>CAMILA MICHEL</t>
  </si>
  <si>
    <t>CAMILA TAPIA PASTEN</t>
  </si>
  <si>
    <t>POR CAMILA ORTIZ VALDIVIA</t>
  </si>
  <si>
    <t>18730103-3</t>
  </si>
  <si>
    <t>OJEDA</t>
  </si>
  <si>
    <t>ROCIO EUGENIA DE LOURDES</t>
  </si>
  <si>
    <t>ROCIO OJEDA TAPIA</t>
  </si>
  <si>
    <t>reojeda@pjud.cl</t>
  </si>
  <si>
    <t>POR PAULINA MILLA CARRASCO</t>
  </si>
  <si>
    <t>POR CAROLINA BARONCINI GALVEZ</t>
  </si>
  <si>
    <t>Columna1</t>
  </si>
  <si>
    <t>ROL</t>
  </si>
  <si>
    <t>Ministro (a) Visitador (a)</t>
  </si>
  <si>
    <t>Correo</t>
  </si>
  <si>
    <t xml:space="preserve">Civil </t>
  </si>
  <si>
    <t xml:space="preserve">Laboral </t>
  </si>
  <si>
    <t xml:space="preserve">Cobranza </t>
  </si>
  <si>
    <t xml:space="preserve">Familia </t>
  </si>
  <si>
    <t xml:space="preserve">Penal </t>
  </si>
  <si>
    <t>Reformado</t>
  </si>
  <si>
    <t>Teléfono</t>
  </si>
  <si>
    <t>60304003-1</t>
  </si>
  <si>
    <t>Primer Juzgado de Letras de La Serena</t>
  </si>
  <si>
    <t>Iván Corona Albornoz</t>
  </si>
  <si>
    <t>jllaserena1@pjud.cl</t>
  </si>
  <si>
    <t>Civil</t>
  </si>
  <si>
    <t>61937500-9</t>
  </si>
  <si>
    <t>Segundo Juzgado de Letras de La Serena</t>
  </si>
  <si>
    <t>Sergio Troncoso Espinoza</t>
  </si>
  <si>
    <t>jllaserena2@pjud.cl</t>
  </si>
  <si>
    <t>60304006-6</t>
  </si>
  <si>
    <t>Tercer Juzgado de Letras de La Serena</t>
  </si>
  <si>
    <t>Christian Le-Cerf Raby</t>
  </si>
  <si>
    <t>jllaserena3@pjud.cl</t>
  </si>
  <si>
    <t>53 2 620082 -  53 2 629207</t>
  </si>
  <si>
    <t>60304009-0</t>
  </si>
  <si>
    <t>Primer Juzgado de Letras de Coquimbo</t>
  </si>
  <si>
    <t>Juan Carlos Espinosa Rojas</t>
  </si>
  <si>
    <t>jlcoquimbo1@pjud.cl</t>
  </si>
  <si>
    <t>60304008-2</t>
  </si>
  <si>
    <t xml:space="preserve">Segundo Juzgado de Letras de Coquimbo </t>
  </si>
  <si>
    <t>jlcoquimbo2@pjud.cl</t>
  </si>
  <si>
    <t>61930300-8</t>
  </si>
  <si>
    <t>Tercer Juzgado de Letras de Coquimbo</t>
  </si>
  <si>
    <t>jlcoquimbo3@pjud.cl</t>
  </si>
  <si>
    <t>60304015-5</t>
  </si>
  <si>
    <t>Primer Juzgado de Letras de Ovalle</t>
  </si>
  <si>
    <t>jlovalle1@pjud.cl</t>
  </si>
  <si>
    <t>Laboral</t>
  </si>
  <si>
    <t>Cobranza</t>
  </si>
  <si>
    <t>60304016-3</t>
  </si>
  <si>
    <t>Segundo Juzgado de Letras de Ovalle</t>
  </si>
  <si>
    <t>Gloria Negroni Vera</t>
  </si>
  <si>
    <t>jlovalle2@pjud.cl</t>
  </si>
  <si>
    <t>60304023-6</t>
  </si>
  <si>
    <t xml:space="preserve">Tercer Juzgado de Letras de Ovalle </t>
  </si>
  <si>
    <t>jlovalle3@pjud.cl</t>
  </si>
  <si>
    <t>60304021-K</t>
  </si>
  <si>
    <t>Juzgado de Letras de Illapel</t>
  </si>
  <si>
    <t>Marcela Sandoval Durán</t>
  </si>
  <si>
    <t>jlillapel@pjud.cl</t>
  </si>
  <si>
    <t>Familia</t>
  </si>
  <si>
    <t>61916000-2</t>
  </si>
  <si>
    <t>Juzgado de Letras de Vicuña</t>
  </si>
  <si>
    <t>jl_vicuna@pjud.cl</t>
  </si>
  <si>
    <t>60304001-5</t>
  </si>
  <si>
    <t>Juzgado de Letras y Garantía de Andacollo</t>
  </si>
  <si>
    <t>Felipe Pulgar Bravo</t>
  </si>
  <si>
    <t>jlyg_andacollo@pjud.cl</t>
  </si>
  <si>
    <t>Penal</t>
  </si>
  <si>
    <t>61979940-2</t>
  </si>
  <si>
    <t>Juzgado de Letras y Garantía de Combarbalá</t>
  </si>
  <si>
    <t>jlyg_combarbala@pjud.cl</t>
  </si>
  <si>
    <t>60304026-0</t>
  </si>
  <si>
    <t xml:space="preserve">Juzgado de Letras y Garantía de Los Vilos  </t>
  </si>
  <si>
    <t>jlyg_losvilos@pjud.cl</t>
  </si>
  <si>
    <t>61939000-8</t>
  </si>
  <si>
    <t xml:space="preserve">Juzgado de Garantía de La Serena </t>
  </si>
  <si>
    <t>jglaserena@pjud.cl</t>
  </si>
  <si>
    <t>75971600-0</t>
  </si>
  <si>
    <t>Juzgado de Garantía de Coquimbo</t>
  </si>
  <si>
    <t>jgcoquimbo@pjud.cl</t>
  </si>
  <si>
    <t>75970110-0</t>
  </si>
  <si>
    <t xml:space="preserve">Juzgado de Garantía de Ovalle </t>
  </si>
  <si>
    <t>jgovalle@pjud.cl</t>
  </si>
  <si>
    <t>61938600-0</t>
  </si>
  <si>
    <t>Juzgado de Garantía de Illapel</t>
  </si>
  <si>
    <t>jgillapel@pjud.cl</t>
  </si>
  <si>
    <t>+569 95420033</t>
  </si>
  <si>
    <t>61938900-K</t>
  </si>
  <si>
    <t xml:space="preserve">Juzgado de Garantía de Vicuña </t>
  </si>
  <si>
    <t>jgvicuna@pjud.cl</t>
  </si>
  <si>
    <t>61979200-9</t>
  </si>
  <si>
    <t>Juzgado de Letras del Trabajo de La Serena</t>
  </si>
  <si>
    <t>jlablaserena@pjud.cl</t>
  </si>
  <si>
    <t>65549930-K</t>
  </si>
  <si>
    <t>Juzgado de Familia de La Serena</t>
  </si>
  <si>
    <t>jflaserena@pjud.cl</t>
  </si>
  <si>
    <t>61977950-9</t>
  </si>
  <si>
    <t>Juzgado de Familia de Coquimbo</t>
  </si>
  <si>
    <t>jfcoquimbo@pjud.cl</t>
  </si>
  <si>
    <t>61977860-K</t>
  </si>
  <si>
    <t xml:space="preserve">Juzgado de Familia de Ovalle </t>
  </si>
  <si>
    <t>jfovalle@pjud.cl</t>
  </si>
  <si>
    <t>53 263 4717 / 53 263 4718</t>
  </si>
  <si>
    <t>61939100-4</t>
  </si>
  <si>
    <t>Tribunal de Juicio Oral en Lo Penal de La Serena</t>
  </si>
  <si>
    <t>sergio Troncoso Espinoza</t>
  </si>
  <si>
    <t>toplaserena@pjud.cl</t>
  </si>
  <si>
    <t>75970090-2</t>
  </si>
  <si>
    <t>Tribunal de Juicio Oral en Lo Penal de Ovalle</t>
  </si>
  <si>
    <t>topovalle@pjud.cl</t>
  </si>
  <si>
    <t>Unidad Liquidaciones Especializadas La Serena</t>
  </si>
  <si>
    <t>Centro Integrado de Notificaciones Judiciales La Serena</t>
  </si>
  <si>
    <t>Centro de Seguimiento de Medidas de Protección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</si>
</sst>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1"/>
      <name val="Calibri"/>
      <family val="2"/>
    </font>
    <font>
      <b/>
      <sz val="12"/>
      <color rgb="FFFFFFFF"/>
      <name val="Courier New"/>
      <family val="3"/>
    </font>
    <font>
      <b/>
      <sz val="14"/>
      <color rgb="FFFFFFFF"/>
      <name val="Courier New"/>
      <family val="3"/>
    </font>
    <font>
      <b/>
      <sz val="12"/>
      <color theme="1"/>
      <name val="Courier New"/>
      <family val="3"/>
    </font>
    <font>
      <sz val="12"/>
      <color theme="1"/>
      <name val="Courier New"/>
      <family val="3"/>
    </font>
    <font>
      <sz val="14"/>
      <color rgb="FF0000FF"/>
      <name val="Courier New"/>
      <family val="3"/>
    </font>
    <font>
      <sz val="12"/>
      <color rgb="FFFF0000"/>
      <name val="Courier New"/>
      <family val="3"/>
    </font>
    <font>
      <sz val="14"/>
      <color theme="1"/>
      <name val="Courier New"/>
      <family val="3"/>
    </font>
    <font>
      <u/>
      <sz val="11"/>
      <color theme="10"/>
      <name val="Aptos Narrow"/>
      <family val="2"/>
      <scheme val="minor"/>
    </font>
    <font>
      <i/>
      <sz val="11"/>
      <color indexed="8"/>
      <name val="Calibri"/>
      <family val="2"/>
    </font>
    <font>
      <b/>
      <sz val="11"/>
      <color indexed="8"/>
      <name val="Aptos Narrow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color theme="1"/>
      <name val="Arial"/>
      <family val="2"/>
    </font>
    <font>
      <sz val="11"/>
      <color indexed="12"/>
      <name val="Arial"/>
      <family val="2"/>
    </font>
    <font>
      <u/>
      <sz val="11"/>
      <name val="Aptos Narrow"/>
      <family val="2"/>
      <scheme val="minor"/>
    </font>
    <font>
      <sz val="9"/>
      <color rgb="FF000000"/>
      <name val="Arial"/>
      <family val="2"/>
    </font>
    <font>
      <sz val="10"/>
      <color indexed="12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"/>
      <name val="Aptos Narrow"/>
      <family val="2"/>
      <scheme val="minor"/>
    </font>
    <font>
      <sz val="9"/>
      <color indexed="8"/>
      <name val="Aptos Narrow"/>
      <family val="2"/>
      <scheme val="minor"/>
    </font>
    <font>
      <b/>
      <sz val="10"/>
      <color indexed="81"/>
      <name val="Tahoma"/>
      <family val="2"/>
    </font>
    <font>
      <b/>
      <sz val="10"/>
      <color indexed="8"/>
      <name val="Aptos Narrow"/>
      <family val="2"/>
      <scheme val="minor"/>
    </font>
    <font>
      <sz val="10"/>
      <color indexed="8"/>
      <name val="Aptos Narrow"/>
      <family val="2"/>
      <scheme val="minor"/>
    </font>
    <font>
      <sz val="10"/>
      <color indexed="81"/>
      <name val="Tahoma"/>
      <family val="2"/>
    </font>
    <font>
      <b/>
      <sz val="8"/>
      <color indexed="8"/>
      <name val="Aptos Narrow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0F243E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6D1E6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rgb="FFB7CBE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2" fillId="0" borderId="0" applyNumberFormat="0" applyFill="0" applyBorder="0" applyAlignment="0" applyProtection="0"/>
    <xf numFmtId="0" fontId="15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</cellStyleXfs>
  <cellXfs count="392">
    <xf numFmtId="0" fontId="0" fillId="0" borderId="0" xfId="0"/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5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vertical="center" wrapText="1"/>
    </xf>
    <xf numFmtId="0" fontId="9" fillId="5" borderId="0" xfId="0" applyFont="1" applyFill="1" applyAlignment="1">
      <alignment vertical="center" wrapText="1"/>
    </xf>
    <xf numFmtId="0" fontId="7" fillId="5" borderId="0" xfId="0" applyFont="1" applyFill="1" applyAlignment="1">
      <alignment vertical="center" wrapText="1"/>
    </xf>
    <xf numFmtId="0" fontId="4" fillId="6" borderId="0" xfId="0" applyFont="1" applyFill="1" applyAlignment="1">
      <alignment vertical="center" wrapText="1"/>
    </xf>
    <xf numFmtId="0" fontId="12" fillId="5" borderId="0" xfId="3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0" fontId="10" fillId="5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4" fillId="7" borderId="0" xfId="0" applyFont="1" applyFill="1" applyAlignment="1">
      <alignment vertical="center" wrapText="1"/>
    </xf>
    <xf numFmtId="0" fontId="12" fillId="8" borderId="0" xfId="3" applyFill="1" applyAlignment="1">
      <alignment vertical="center" wrapText="1"/>
    </xf>
    <xf numFmtId="0" fontId="9" fillId="8" borderId="0" xfId="0" applyFont="1" applyFill="1" applyAlignment="1">
      <alignment vertical="center" wrapText="1"/>
    </xf>
    <xf numFmtId="0" fontId="7" fillId="9" borderId="0" xfId="0" applyFont="1" applyFill="1" applyAlignment="1">
      <alignment vertical="center" wrapText="1"/>
    </xf>
    <xf numFmtId="0" fontId="8" fillId="10" borderId="0" xfId="0" applyFont="1" applyFill="1" applyAlignment="1">
      <alignment vertical="center" wrapText="1"/>
    </xf>
    <xf numFmtId="0" fontId="7" fillId="10" borderId="0" xfId="0" applyFont="1" applyFill="1" applyAlignment="1">
      <alignment vertical="center" wrapText="1"/>
    </xf>
    <xf numFmtId="0" fontId="11" fillId="5" borderId="0" xfId="0" applyFont="1" applyFill="1" applyAlignment="1">
      <alignment vertical="center" wrapText="1"/>
    </xf>
    <xf numFmtId="0" fontId="8" fillId="5" borderId="0" xfId="0" applyFont="1" applyFill="1" applyAlignment="1">
      <alignment vertical="center" wrapText="1"/>
    </xf>
    <xf numFmtId="0" fontId="9" fillId="5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3" fillId="0" borderId="0" xfId="0" applyFont="1"/>
    <xf numFmtId="0" fontId="14" fillId="11" borderId="1" xfId="0" applyFont="1" applyFill="1" applyBorder="1" applyAlignment="1">
      <alignment horizontal="left"/>
    </xf>
    <xf numFmtId="14" fontId="14" fillId="11" borderId="2" xfId="0" applyNumberFormat="1" applyFont="1" applyFill="1" applyBorder="1" applyAlignment="1">
      <alignment horizontal="left"/>
    </xf>
    <xf numFmtId="0" fontId="0" fillId="11" borderId="3" xfId="0" applyFill="1" applyBorder="1"/>
    <xf numFmtId="0" fontId="14" fillId="11" borderId="4" xfId="0" applyFont="1" applyFill="1" applyBorder="1" applyAlignment="1">
      <alignment horizontal="left"/>
    </xf>
    <xf numFmtId="0" fontId="14" fillId="11" borderId="5" xfId="0" applyFont="1" applyFill="1" applyBorder="1" applyAlignment="1">
      <alignment horizontal="left"/>
    </xf>
    <xf numFmtId="0" fontId="0" fillId="11" borderId="6" xfId="0" applyFill="1" applyBorder="1"/>
    <xf numFmtId="0" fontId="0" fillId="0" borderId="0" xfId="0" applyAlignment="1">
      <alignment horizontal="center" vertical="center"/>
    </xf>
    <xf numFmtId="3" fontId="16" fillId="12" borderId="7" xfId="4" applyNumberFormat="1" applyFont="1" applyFill="1" applyBorder="1" applyAlignment="1">
      <alignment horizontal="center" vertical="center"/>
    </xf>
    <xf numFmtId="0" fontId="16" fillId="12" borderId="7" xfId="4" applyFont="1" applyFill="1" applyBorder="1" applyAlignment="1">
      <alignment horizontal="center" vertical="center"/>
    </xf>
    <xf numFmtId="14" fontId="16" fillId="12" borderId="7" xfId="4" applyNumberFormat="1" applyFont="1" applyFill="1" applyBorder="1" applyAlignment="1">
      <alignment horizontal="center" vertical="center"/>
    </xf>
    <xf numFmtId="0" fontId="16" fillId="13" borderId="7" xfId="4" applyFont="1" applyFill="1" applyBorder="1" applyAlignment="1">
      <alignment horizontal="center" vertical="center"/>
    </xf>
    <xf numFmtId="0" fontId="16" fillId="12" borderId="8" xfId="4" applyFont="1" applyFill="1" applyBorder="1" applyAlignment="1">
      <alignment horizontal="center" vertical="center"/>
    </xf>
    <xf numFmtId="0" fontId="16" fillId="12" borderId="7" xfId="4" applyFont="1" applyFill="1" applyBorder="1" applyAlignment="1">
      <alignment horizontal="left" vertical="center"/>
    </xf>
    <xf numFmtId="0" fontId="17" fillId="0" borderId="9" xfId="0" applyFont="1" applyBorder="1" applyAlignment="1">
      <alignment horizontal="center" vertical="center"/>
    </xf>
    <xf numFmtId="3" fontId="17" fillId="0" borderId="10" xfId="0" applyNumberFormat="1" applyFont="1" applyBorder="1" applyAlignment="1">
      <alignment horizontal="center" vertical="center"/>
    </xf>
    <xf numFmtId="49" fontId="17" fillId="0" borderId="10" xfId="0" applyNumberFormat="1" applyFont="1" applyBorder="1" applyAlignment="1">
      <alignment horizontal="center" vertical="center"/>
    </xf>
    <xf numFmtId="0" fontId="12" fillId="0" borderId="10" xfId="3" applyNumberFormat="1" applyFill="1" applyBorder="1" applyAlignment="1" applyProtection="1">
      <alignment horizontal="center" vertical="center"/>
    </xf>
    <xf numFmtId="0" fontId="17" fillId="0" borderId="10" xfId="0" applyFont="1" applyBorder="1" applyAlignment="1">
      <alignment horizontal="center" vertical="center"/>
    </xf>
    <xf numFmtId="49" fontId="18" fillId="0" borderId="11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10" xfId="0" applyBorder="1"/>
    <xf numFmtId="0" fontId="0" fillId="0" borderId="11" xfId="0" applyBorder="1"/>
    <xf numFmtId="3" fontId="18" fillId="0" borderId="10" xfId="0" applyNumberFormat="1" applyFont="1" applyBorder="1" applyAlignment="1">
      <alignment horizontal="center" vertical="center"/>
    </xf>
    <xf numFmtId="49" fontId="18" fillId="0" borderId="10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14" fontId="12" fillId="0" borderId="10" xfId="3" applyNumberFormat="1" applyFill="1" applyBorder="1" applyAlignment="1" applyProtection="1">
      <alignment horizontal="center" vertical="center" wrapText="1"/>
    </xf>
    <xf numFmtId="0" fontId="18" fillId="0" borderId="11" xfId="0" applyFont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left"/>
    </xf>
    <xf numFmtId="14" fontId="19" fillId="0" borderId="10" xfId="0" applyNumberFormat="1" applyFont="1" applyBorder="1" applyAlignment="1">
      <alignment horizontal="center" vertical="center"/>
    </xf>
    <xf numFmtId="14" fontId="18" fillId="0" borderId="10" xfId="0" applyNumberFormat="1" applyFont="1" applyBorder="1" applyAlignment="1">
      <alignment horizontal="center" vertical="center"/>
    </xf>
    <xf numFmtId="49" fontId="19" fillId="0" borderId="10" xfId="0" applyNumberFormat="1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14" fontId="0" fillId="0" borderId="13" xfId="0" applyNumberFormat="1" applyBorder="1" applyAlignment="1">
      <alignment horizontal="left" vertical="center"/>
    </xf>
    <xf numFmtId="0" fontId="12" fillId="0" borderId="11" xfId="3" applyFill="1" applyBorder="1" applyAlignment="1">
      <alignment wrapText="1"/>
    </xf>
    <xf numFmtId="0" fontId="18" fillId="0" borderId="10" xfId="0" applyFont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/>
    <xf numFmtId="0" fontId="20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left"/>
    </xf>
    <xf numFmtId="14" fontId="0" fillId="0" borderId="10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1" xfId="0" applyBorder="1" applyAlignment="1">
      <alignment horizontal="center"/>
    </xf>
    <xf numFmtId="14" fontId="12" fillId="0" borderId="10" xfId="3" applyNumberFormat="1" applyBorder="1" applyAlignment="1">
      <alignment horizontal="center" vertical="center"/>
    </xf>
    <xf numFmtId="49" fontId="18" fillId="14" borderId="10" xfId="0" applyNumberFormat="1" applyFont="1" applyFill="1" applyBorder="1" applyAlignment="1">
      <alignment horizontal="center" vertical="center"/>
    </xf>
    <xf numFmtId="49" fontId="18" fillId="14" borderId="11" xfId="0" applyNumberFormat="1" applyFont="1" applyFill="1" applyBorder="1" applyAlignment="1">
      <alignment horizontal="center" vertical="center"/>
    </xf>
    <xf numFmtId="14" fontId="0" fillId="0" borderId="13" xfId="0" applyNumberFormat="1" applyBorder="1" applyAlignment="1">
      <alignment horizontal="center"/>
    </xf>
    <xf numFmtId="14" fontId="17" fillId="0" borderId="10" xfId="0" applyNumberFormat="1" applyFont="1" applyBorder="1" applyAlignment="1">
      <alignment horizontal="center" vertical="center"/>
    </xf>
    <xf numFmtId="49" fontId="17" fillId="0" borderId="11" xfId="0" applyNumberFormat="1" applyFont="1" applyBorder="1" applyAlignment="1">
      <alignment horizontal="center" vertical="center"/>
    </xf>
    <xf numFmtId="0" fontId="12" fillId="0" borderId="11" xfId="3" applyFill="1" applyBorder="1"/>
    <xf numFmtId="0" fontId="19" fillId="0" borderId="10" xfId="0" applyFont="1" applyBorder="1" applyAlignment="1">
      <alignment horizontal="center" vertical="center"/>
    </xf>
    <xf numFmtId="14" fontId="12" fillId="0" borderId="10" xfId="3" applyNumberFormat="1" applyFill="1" applyBorder="1" applyAlignment="1" applyProtection="1">
      <alignment horizontal="center" vertical="center"/>
    </xf>
    <xf numFmtId="3" fontId="18" fillId="6" borderId="10" xfId="0" applyNumberFormat="1" applyFont="1" applyFill="1" applyBorder="1" applyAlignment="1">
      <alignment horizontal="center" vertical="center"/>
    </xf>
    <xf numFmtId="49" fontId="18" fillId="6" borderId="10" xfId="0" applyNumberFormat="1" applyFont="1" applyFill="1" applyBorder="1" applyAlignment="1">
      <alignment horizontal="center" vertical="center"/>
    </xf>
    <xf numFmtId="0" fontId="18" fillId="6" borderId="10" xfId="0" applyFont="1" applyFill="1" applyBorder="1" applyAlignment="1">
      <alignment horizontal="center" vertical="center"/>
    </xf>
    <xf numFmtId="49" fontId="17" fillId="6" borderId="10" xfId="0" applyNumberFormat="1" applyFont="1" applyFill="1" applyBorder="1" applyAlignment="1">
      <alignment horizontal="center" vertical="center"/>
    </xf>
    <xf numFmtId="0" fontId="17" fillId="6" borderId="10" xfId="0" applyFont="1" applyFill="1" applyBorder="1" applyAlignment="1">
      <alignment horizontal="center" vertical="center"/>
    </xf>
    <xf numFmtId="49" fontId="18" fillId="6" borderId="11" xfId="0" applyNumberFormat="1" applyFont="1" applyFill="1" applyBorder="1" applyAlignment="1">
      <alignment horizontal="center" vertical="center"/>
    </xf>
    <xf numFmtId="49" fontId="12" fillId="0" borderId="10" xfId="3" applyNumberFormat="1" applyFill="1" applyBorder="1" applyAlignment="1" applyProtection="1">
      <alignment horizontal="center" vertical="center"/>
    </xf>
    <xf numFmtId="14" fontId="0" fillId="0" borderId="11" xfId="0" applyNumberFormat="1" applyBorder="1" applyAlignment="1">
      <alignment horizontal="center"/>
    </xf>
    <xf numFmtId="0" fontId="12" fillId="0" borderId="11" xfId="3" applyFill="1" applyBorder="1" applyAlignment="1" applyProtection="1">
      <alignment horizontal="center" vertical="center"/>
    </xf>
    <xf numFmtId="49" fontId="18" fillId="7" borderId="10" xfId="0" applyNumberFormat="1" applyFont="1" applyFill="1" applyBorder="1" applyAlignment="1">
      <alignment horizontal="center" vertical="center"/>
    </xf>
    <xf numFmtId="49" fontId="18" fillId="7" borderId="11" xfId="0" applyNumberFormat="1" applyFont="1" applyFill="1" applyBorder="1" applyAlignment="1">
      <alignment horizontal="center" vertical="center"/>
    </xf>
    <xf numFmtId="16" fontId="0" fillId="0" borderId="10" xfId="0" applyNumberFormat="1" applyBorder="1" applyAlignment="1">
      <alignment horizontal="center"/>
    </xf>
    <xf numFmtId="14" fontId="0" fillId="0" borderId="13" xfId="0" applyNumberFormat="1" applyBorder="1" applyAlignment="1">
      <alignment horizontal="left"/>
    </xf>
    <xf numFmtId="14" fontId="18" fillId="0" borderId="10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3" fontId="21" fillId="0" borderId="10" xfId="0" applyNumberFormat="1" applyFont="1" applyBorder="1" applyAlignment="1">
      <alignment horizontal="center" vertical="center"/>
    </xf>
    <xf numFmtId="49" fontId="21" fillId="0" borderId="10" xfId="0" applyNumberFormat="1" applyFont="1" applyBorder="1" applyAlignment="1">
      <alignment horizontal="center" vertical="center"/>
    </xf>
    <xf numFmtId="14" fontId="19" fillId="0" borderId="10" xfId="5" applyNumberFormat="1" applyFill="1" applyBorder="1" applyAlignment="1" applyProtection="1">
      <alignment horizontal="center" vertical="top" wrapText="1"/>
    </xf>
    <xf numFmtId="0" fontId="0" fillId="0" borderId="12" xfId="0" applyBorder="1"/>
    <xf numFmtId="14" fontId="22" fillId="0" borderId="10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17" fillId="0" borderId="11" xfId="6" applyFont="1" applyFill="1" applyBorder="1" applyAlignment="1" applyProtection="1">
      <alignment horizontal="center" vertical="center"/>
    </xf>
    <xf numFmtId="0" fontId="12" fillId="0" borderId="10" xfId="3" applyNumberFormat="1" applyFill="1" applyBorder="1" applyAlignment="1" applyProtection="1">
      <alignment horizontal="center" vertical="center" wrapText="1"/>
    </xf>
    <xf numFmtId="0" fontId="12" fillId="0" borderId="10" xfId="3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8" fillId="14" borderId="10" xfId="0" applyFont="1" applyFill="1" applyBorder="1" applyAlignment="1">
      <alignment horizontal="center" vertical="center"/>
    </xf>
    <xf numFmtId="14" fontId="12" fillId="6" borderId="10" xfId="3" applyNumberFormat="1" applyFill="1" applyBorder="1" applyAlignment="1" applyProtection="1">
      <alignment horizontal="center" vertical="center"/>
    </xf>
    <xf numFmtId="0" fontId="18" fillId="6" borderId="11" xfId="0" applyFont="1" applyFill="1" applyBorder="1" applyAlignment="1">
      <alignment horizontal="center" vertical="center"/>
    </xf>
    <xf numFmtId="49" fontId="18" fillId="0" borderId="17" xfId="0" applyNumberFormat="1" applyFont="1" applyBorder="1" applyAlignment="1">
      <alignment horizontal="center" vertical="center"/>
    </xf>
    <xf numFmtId="0" fontId="12" fillId="0" borderId="11" xfId="3" applyBorder="1"/>
    <xf numFmtId="3" fontId="18" fillId="14" borderId="10" xfId="0" applyNumberFormat="1" applyFont="1" applyFill="1" applyBorder="1" applyAlignment="1">
      <alignment horizontal="center" vertical="center"/>
    </xf>
    <xf numFmtId="14" fontId="18" fillId="14" borderId="10" xfId="0" applyNumberFormat="1" applyFont="1" applyFill="1" applyBorder="1" applyAlignment="1">
      <alignment horizontal="center" vertical="center"/>
    </xf>
    <xf numFmtId="49" fontId="17" fillId="14" borderId="10" xfId="0" applyNumberFormat="1" applyFont="1" applyFill="1" applyBorder="1" applyAlignment="1">
      <alignment horizontal="center" vertical="center"/>
    </xf>
    <xf numFmtId="49" fontId="17" fillId="14" borderId="11" xfId="0" applyNumberFormat="1" applyFont="1" applyFill="1" applyBorder="1" applyAlignment="1">
      <alignment horizontal="center" vertical="center"/>
    </xf>
    <xf numFmtId="49" fontId="18" fillId="0" borderId="9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 wrapText="1"/>
    </xf>
    <xf numFmtId="3" fontId="18" fillId="0" borderId="18" xfId="0" applyNumberFormat="1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14" fontId="19" fillId="0" borderId="18" xfId="0" applyNumberFormat="1" applyFont="1" applyBorder="1" applyAlignment="1">
      <alignment horizontal="center" vertical="center"/>
    </xf>
    <xf numFmtId="49" fontId="18" fillId="0" borderId="18" xfId="0" applyNumberFormat="1" applyFont="1" applyBorder="1" applyAlignment="1">
      <alignment horizontal="center" vertical="center"/>
    </xf>
    <xf numFmtId="14" fontId="18" fillId="0" borderId="18" xfId="0" applyNumberFormat="1" applyFont="1" applyBorder="1" applyAlignment="1">
      <alignment horizontal="center"/>
    </xf>
    <xf numFmtId="49" fontId="17" fillId="0" borderId="9" xfId="0" applyNumberFormat="1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18" fillId="14" borderId="10" xfId="0" applyFont="1" applyFill="1" applyBorder="1" applyAlignment="1">
      <alignment horizontal="center"/>
    </xf>
    <xf numFmtId="0" fontId="17" fillId="14" borderId="11" xfId="0" applyFont="1" applyFill="1" applyBorder="1" applyAlignment="1">
      <alignment horizontal="center" vertical="center"/>
    </xf>
    <xf numFmtId="3" fontId="17" fillId="6" borderId="10" xfId="0" applyNumberFormat="1" applyFont="1" applyFill="1" applyBorder="1" applyAlignment="1">
      <alignment horizontal="center" vertical="center"/>
    </xf>
    <xf numFmtId="0" fontId="22" fillId="6" borderId="10" xfId="0" applyFont="1" applyFill="1" applyBorder="1" applyAlignment="1">
      <alignment horizontal="center" vertical="center"/>
    </xf>
    <xf numFmtId="0" fontId="18" fillId="6" borderId="10" xfId="0" applyFont="1" applyFill="1" applyBorder="1" applyAlignment="1">
      <alignment horizontal="center"/>
    </xf>
    <xf numFmtId="0" fontId="0" fillId="0" borderId="11" xfId="0" applyBorder="1" applyAlignment="1">
      <alignment wrapText="1"/>
    </xf>
    <xf numFmtId="14" fontId="18" fillId="0" borderId="11" xfId="0" applyNumberFormat="1" applyFont="1" applyBorder="1" applyAlignment="1">
      <alignment horizontal="center" vertical="center"/>
    </xf>
    <xf numFmtId="14" fontId="18" fillId="6" borderId="10" xfId="0" applyNumberFormat="1" applyFont="1" applyFill="1" applyBorder="1" applyAlignment="1">
      <alignment horizontal="center" vertical="center"/>
    </xf>
    <xf numFmtId="14" fontId="20" fillId="0" borderId="10" xfId="0" applyNumberFormat="1" applyFont="1" applyBorder="1" applyAlignment="1">
      <alignment horizontal="center" vertical="center"/>
    </xf>
    <xf numFmtId="0" fontId="12" fillId="0" borderId="15" xfId="3" applyFill="1" applyBorder="1"/>
    <xf numFmtId="14" fontId="0" fillId="0" borderId="0" xfId="0" applyNumberFormat="1" applyAlignment="1">
      <alignment horizontal="left"/>
    </xf>
    <xf numFmtId="49" fontId="18" fillId="0" borderId="16" xfId="0" applyNumberFormat="1" applyFont="1" applyBorder="1" applyAlignment="1">
      <alignment horizontal="center" vertical="center"/>
    </xf>
    <xf numFmtId="0" fontId="22" fillId="0" borderId="10" xfId="0" applyFont="1" applyBorder="1" applyAlignment="1">
      <alignment horizontal="center"/>
    </xf>
    <xf numFmtId="0" fontId="19" fillId="6" borderId="10" xfId="0" applyFont="1" applyFill="1" applyBorder="1" applyAlignment="1">
      <alignment horizontal="center" vertical="center"/>
    </xf>
    <xf numFmtId="49" fontId="17" fillId="6" borderId="11" xfId="0" applyNumberFormat="1" applyFont="1" applyFill="1" applyBorder="1" applyAlignment="1">
      <alignment horizontal="center" vertical="center"/>
    </xf>
    <xf numFmtId="3" fontId="17" fillId="14" borderId="13" xfId="0" applyNumberFormat="1" applyFont="1" applyFill="1" applyBorder="1" applyAlignment="1">
      <alignment horizontal="center" vertical="center"/>
    </xf>
    <xf numFmtId="49" fontId="17" fillId="14" borderId="13" xfId="0" applyNumberFormat="1" applyFont="1" applyFill="1" applyBorder="1" applyAlignment="1">
      <alignment horizontal="center" vertical="center"/>
    </xf>
    <xf numFmtId="0" fontId="17" fillId="14" borderId="13" xfId="0" applyFont="1" applyFill="1" applyBorder="1" applyAlignment="1">
      <alignment horizontal="center" vertical="center"/>
    </xf>
    <xf numFmtId="0" fontId="12" fillId="14" borderId="13" xfId="3" applyNumberFormat="1" applyFill="1" applyBorder="1" applyAlignment="1" applyProtection="1">
      <alignment horizontal="center" vertical="center"/>
    </xf>
    <xf numFmtId="49" fontId="18" fillId="0" borderId="12" xfId="0" applyNumberFormat="1" applyFont="1" applyBorder="1" applyAlignment="1">
      <alignment horizontal="center" vertical="center"/>
    </xf>
    <xf numFmtId="40" fontId="18" fillId="0" borderId="10" xfId="0" applyNumberFormat="1" applyFont="1" applyBorder="1" applyAlignment="1">
      <alignment horizontal="center" vertical="center"/>
    </xf>
    <xf numFmtId="0" fontId="12" fillId="0" borderId="15" xfId="3" applyBorder="1"/>
    <xf numFmtId="49" fontId="20" fillId="0" borderId="11" xfId="0" applyNumberFormat="1" applyFont="1" applyBorder="1" applyAlignment="1">
      <alignment horizontal="center" vertical="center"/>
    </xf>
    <xf numFmtId="0" fontId="0" fillId="0" borderId="16" xfId="0" applyBorder="1"/>
    <xf numFmtId="14" fontId="12" fillId="0" borderId="15" xfId="3" applyNumberFormat="1" applyFill="1" applyBorder="1" applyAlignment="1">
      <alignment horizontal="center"/>
    </xf>
    <xf numFmtId="14" fontId="0" fillId="0" borderId="10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left" vertical="center"/>
    </xf>
    <xf numFmtId="0" fontId="18" fillId="0" borderId="9" xfId="0" applyFont="1" applyBorder="1" applyAlignment="1">
      <alignment horizontal="center" vertical="center"/>
    </xf>
    <xf numFmtId="0" fontId="12" fillId="0" borderId="0" xfId="3" applyBorder="1" applyAlignment="1">
      <alignment horizontal="left" vertical="center" wrapText="1" indent="1"/>
    </xf>
    <xf numFmtId="49" fontId="18" fillId="13" borderId="10" xfId="0" applyNumberFormat="1" applyFont="1" applyFill="1" applyBorder="1" applyAlignment="1">
      <alignment horizontal="center" vertical="center"/>
    </xf>
    <xf numFmtId="0" fontId="18" fillId="13" borderId="10" xfId="0" applyFont="1" applyFill="1" applyBorder="1" applyAlignment="1">
      <alignment horizontal="center"/>
    </xf>
    <xf numFmtId="49" fontId="17" fillId="13" borderId="11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7" fillId="13" borderId="10" xfId="0" applyFont="1" applyFill="1" applyBorder="1" applyAlignment="1">
      <alignment horizontal="center" vertical="center"/>
    </xf>
    <xf numFmtId="0" fontId="18" fillId="13" borderId="10" xfId="0" applyFont="1" applyFill="1" applyBorder="1" applyAlignment="1">
      <alignment horizontal="center" vertical="center"/>
    </xf>
    <xf numFmtId="49" fontId="17" fillId="13" borderId="10" xfId="0" applyNumberFormat="1" applyFont="1" applyFill="1" applyBorder="1" applyAlignment="1">
      <alignment horizontal="center" vertical="center"/>
    </xf>
    <xf numFmtId="49" fontId="18" fillId="13" borderId="18" xfId="0" applyNumberFormat="1" applyFont="1" applyFill="1" applyBorder="1" applyAlignment="1">
      <alignment horizontal="center" vertical="center"/>
    </xf>
    <xf numFmtId="49" fontId="18" fillId="15" borderId="10" xfId="0" applyNumberFormat="1" applyFont="1" applyFill="1" applyBorder="1" applyAlignment="1">
      <alignment horizontal="center" vertical="center"/>
    </xf>
    <xf numFmtId="0" fontId="18" fillId="15" borderId="10" xfId="0" applyFont="1" applyFill="1" applyBorder="1" applyAlignment="1">
      <alignment horizontal="center"/>
    </xf>
    <xf numFmtId="49" fontId="18" fillId="15" borderId="11" xfId="0" applyNumberFormat="1" applyFont="1" applyFill="1" applyBorder="1" applyAlignment="1">
      <alignment horizontal="center" vertical="center"/>
    </xf>
    <xf numFmtId="0" fontId="18" fillId="15" borderId="10" xfId="0" applyFont="1" applyFill="1" applyBorder="1" applyAlignment="1">
      <alignment horizontal="center" vertical="center"/>
    </xf>
    <xf numFmtId="49" fontId="17" fillId="15" borderId="11" xfId="0" applyNumberFormat="1" applyFont="1" applyFill="1" applyBorder="1" applyAlignment="1">
      <alignment horizontal="center" vertical="center"/>
    </xf>
    <xf numFmtId="49" fontId="17" fillId="0" borderId="12" xfId="0" applyNumberFormat="1" applyFont="1" applyBorder="1" applyAlignment="1">
      <alignment horizontal="center" vertical="center"/>
    </xf>
    <xf numFmtId="49" fontId="17" fillId="15" borderId="10" xfId="0" applyNumberFormat="1" applyFont="1" applyFill="1" applyBorder="1" applyAlignment="1">
      <alignment horizontal="center" vertical="center"/>
    </xf>
    <xf numFmtId="0" fontId="17" fillId="15" borderId="10" xfId="0" applyFont="1" applyFill="1" applyBorder="1" applyAlignment="1">
      <alignment horizontal="center" vertical="center"/>
    </xf>
    <xf numFmtId="0" fontId="17" fillId="15" borderId="11" xfId="0" applyFont="1" applyFill="1" applyBorder="1" applyAlignment="1">
      <alignment horizontal="center" vertical="center"/>
    </xf>
    <xf numFmtId="49" fontId="18" fillId="15" borderId="17" xfId="0" applyNumberFormat="1" applyFont="1" applyFill="1" applyBorder="1" applyAlignment="1">
      <alignment horizontal="center" vertical="center"/>
    </xf>
    <xf numFmtId="49" fontId="18" fillId="0" borderId="19" xfId="0" applyNumberFormat="1" applyFont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18" xfId="0" applyBorder="1" applyAlignment="1">
      <alignment horizontal="center"/>
    </xf>
    <xf numFmtId="0" fontId="12" fillId="0" borderId="17" xfId="3" applyFill="1" applyBorder="1"/>
    <xf numFmtId="0" fontId="0" fillId="15" borderId="20" xfId="0" applyFill="1" applyBorder="1" applyAlignment="1">
      <alignment horizontal="center"/>
    </xf>
    <xf numFmtId="0" fontId="0" fillId="15" borderId="21" xfId="0" applyFill="1" applyBorder="1" applyAlignment="1">
      <alignment horizontal="center"/>
    </xf>
    <xf numFmtId="14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7" fillId="16" borderId="22" xfId="0" applyFont="1" applyFill="1" applyBorder="1" applyAlignment="1">
      <alignment horizontal="center" vertical="center"/>
    </xf>
    <xf numFmtId="3" fontId="17" fillId="16" borderId="18" xfId="0" applyNumberFormat="1" applyFont="1" applyFill="1" applyBorder="1" applyAlignment="1">
      <alignment horizontal="center" vertical="center"/>
    </xf>
    <xf numFmtId="0" fontId="17" fillId="16" borderId="23" xfId="0" applyFont="1" applyFill="1" applyBorder="1" applyAlignment="1">
      <alignment horizontal="center" vertical="center"/>
    </xf>
    <xf numFmtId="0" fontId="12" fillId="16" borderId="23" xfId="3" applyNumberFormat="1" applyFill="1" applyBorder="1" applyAlignment="1" applyProtection="1">
      <alignment horizontal="center" vertical="center"/>
    </xf>
    <xf numFmtId="0" fontId="20" fillId="16" borderId="23" xfId="0" applyFont="1" applyFill="1" applyBorder="1" applyAlignment="1">
      <alignment horizontal="center" vertical="center"/>
    </xf>
    <xf numFmtId="49" fontId="17" fillId="16" borderId="23" xfId="0" applyNumberFormat="1" applyFont="1" applyFill="1" applyBorder="1" applyAlignment="1">
      <alignment horizontal="center" vertical="center"/>
    </xf>
    <xf numFmtId="0" fontId="17" fillId="16" borderId="24" xfId="0" applyFont="1" applyFill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0" fillId="0" borderId="23" xfId="0" applyBorder="1" applyAlignment="1">
      <alignment horizontal="center"/>
    </xf>
    <xf numFmtId="14" fontId="0" fillId="0" borderId="23" xfId="0" applyNumberFormat="1" applyBorder="1" applyAlignment="1">
      <alignment horizontal="center"/>
    </xf>
    <xf numFmtId="14" fontId="0" fillId="0" borderId="23" xfId="0" applyNumberFormat="1" applyBorder="1" applyAlignment="1">
      <alignment horizontal="left"/>
    </xf>
    <xf numFmtId="0" fontId="0" fillId="0" borderId="26" xfId="0" applyBorder="1"/>
    <xf numFmtId="0" fontId="17" fillId="16" borderId="9" xfId="0" applyFont="1" applyFill="1" applyBorder="1" applyAlignment="1">
      <alignment horizontal="center" vertical="center"/>
    </xf>
    <xf numFmtId="3" fontId="17" fillId="16" borderId="10" xfId="0" applyNumberFormat="1" applyFont="1" applyFill="1" applyBorder="1" applyAlignment="1">
      <alignment horizontal="center" vertical="center"/>
    </xf>
    <xf numFmtId="0" fontId="17" fillId="16" borderId="10" xfId="0" applyFont="1" applyFill="1" applyBorder="1" applyAlignment="1">
      <alignment horizontal="center" vertical="center"/>
    </xf>
    <xf numFmtId="0" fontId="19" fillId="16" borderId="10" xfId="0" applyFont="1" applyFill="1" applyBorder="1" applyAlignment="1">
      <alignment horizontal="center" vertical="center"/>
    </xf>
    <xf numFmtId="49" fontId="17" fillId="16" borderId="10" xfId="0" applyNumberFormat="1" applyFont="1" applyFill="1" applyBorder="1" applyAlignment="1">
      <alignment horizontal="center" vertical="center"/>
    </xf>
    <xf numFmtId="0" fontId="17" fillId="16" borderId="16" xfId="0" applyFont="1" applyFill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12" fillId="16" borderId="10" xfId="3" applyNumberFormat="1" applyFill="1" applyBorder="1" applyAlignment="1" applyProtection="1">
      <alignment horizontal="center" vertical="center"/>
    </xf>
    <xf numFmtId="0" fontId="12" fillId="0" borderId="11" xfId="3" applyBorder="1" applyAlignment="1">
      <alignment wrapText="1"/>
    </xf>
    <xf numFmtId="3" fontId="18" fillId="16" borderId="10" xfId="0" applyNumberFormat="1" applyFont="1" applyFill="1" applyBorder="1" applyAlignment="1">
      <alignment horizontal="center" vertical="center"/>
    </xf>
    <xf numFmtId="49" fontId="18" fillId="16" borderId="10" xfId="0" applyNumberFormat="1" applyFont="1" applyFill="1" applyBorder="1" applyAlignment="1">
      <alignment horizontal="center" vertical="center"/>
    </xf>
    <xf numFmtId="14" fontId="18" fillId="16" borderId="10" xfId="0" applyNumberFormat="1" applyFont="1" applyFill="1" applyBorder="1" applyAlignment="1">
      <alignment horizontal="center" vertical="center"/>
    </xf>
    <xf numFmtId="0" fontId="12" fillId="16" borderId="10" xfId="3" applyNumberFormat="1" applyFill="1" applyBorder="1" applyAlignment="1" applyProtection="1">
      <alignment horizontal="center" vertical="center" wrapText="1"/>
    </xf>
    <xf numFmtId="3" fontId="17" fillId="16" borderId="10" xfId="0" applyNumberFormat="1" applyFont="1" applyFill="1" applyBorder="1" applyAlignment="1">
      <alignment horizontal="center" vertical="center" wrapText="1"/>
    </xf>
    <xf numFmtId="3" fontId="17" fillId="17" borderId="10" xfId="0" applyNumberFormat="1" applyFont="1" applyFill="1" applyBorder="1" applyAlignment="1">
      <alignment horizontal="center" vertical="center"/>
    </xf>
    <xf numFmtId="0" fontId="17" fillId="17" borderId="10" xfId="0" applyFont="1" applyFill="1" applyBorder="1" applyAlignment="1">
      <alignment horizontal="center" vertical="center"/>
    </xf>
    <xf numFmtId="0" fontId="23" fillId="17" borderId="10" xfId="3" applyNumberFormat="1" applyFont="1" applyFill="1" applyBorder="1" applyAlignment="1" applyProtection="1">
      <alignment horizontal="center" vertical="center"/>
    </xf>
    <xf numFmtId="14" fontId="0" fillId="17" borderId="10" xfId="0" applyNumberFormat="1" applyFill="1" applyBorder="1" applyAlignment="1">
      <alignment horizontal="center"/>
    </xf>
    <xf numFmtId="14" fontId="0" fillId="17" borderId="10" xfId="0" applyNumberFormat="1" applyFill="1" applyBorder="1" applyAlignment="1">
      <alignment horizontal="left"/>
    </xf>
    <xf numFmtId="0" fontId="0" fillId="17" borderId="10" xfId="0" applyFill="1" applyBorder="1" applyAlignment="1">
      <alignment horizontal="center"/>
    </xf>
    <xf numFmtId="0" fontId="12" fillId="17" borderId="10" xfId="3" applyNumberFormat="1" applyFill="1" applyBorder="1" applyAlignment="1" applyProtection="1">
      <alignment horizontal="center" vertical="center"/>
    </xf>
    <xf numFmtId="3" fontId="18" fillId="17" borderId="10" xfId="0" applyNumberFormat="1" applyFont="1" applyFill="1" applyBorder="1" applyAlignment="1">
      <alignment horizontal="center" vertical="center"/>
    </xf>
    <xf numFmtId="49" fontId="18" fillId="17" borderId="10" xfId="0" applyNumberFormat="1" applyFont="1" applyFill="1" applyBorder="1" applyAlignment="1">
      <alignment horizontal="center" vertical="center"/>
    </xf>
    <xf numFmtId="0" fontId="19" fillId="17" borderId="10" xfId="0" applyFont="1" applyFill="1" applyBorder="1" applyAlignment="1">
      <alignment horizontal="center" vertical="center"/>
    </xf>
    <xf numFmtId="0" fontId="17" fillId="16" borderId="27" xfId="0" applyFont="1" applyFill="1" applyBorder="1" applyAlignment="1">
      <alignment horizontal="center" vertical="center"/>
    </xf>
    <xf numFmtId="0" fontId="23" fillId="16" borderId="10" xfId="3" applyNumberFormat="1" applyFont="1" applyFill="1" applyBorder="1" applyAlignment="1" applyProtection="1">
      <alignment horizontal="center" vertical="center"/>
    </xf>
    <xf numFmtId="14" fontId="12" fillId="16" borderId="10" xfId="3" applyNumberFormat="1" applyFill="1" applyBorder="1" applyAlignment="1">
      <alignment horizontal="center" vertical="center"/>
    </xf>
    <xf numFmtId="3" fontId="17" fillId="16" borderId="18" xfId="0" applyNumberFormat="1" applyFont="1" applyFill="1" applyBorder="1" applyAlignment="1">
      <alignment horizontal="center" vertical="top" wrapText="1"/>
    </xf>
    <xf numFmtId="0" fontId="17" fillId="16" borderId="18" xfId="0" applyFont="1" applyFill="1" applyBorder="1" applyAlignment="1">
      <alignment horizontal="center" vertical="center"/>
    </xf>
    <xf numFmtId="0" fontId="12" fillId="16" borderId="18" xfId="3" applyNumberFormat="1" applyFill="1" applyBorder="1" applyAlignment="1" applyProtection="1">
      <alignment horizontal="center" vertical="center"/>
    </xf>
    <xf numFmtId="0" fontId="17" fillId="0" borderId="22" xfId="0" applyFont="1" applyBorder="1" applyAlignment="1">
      <alignment horizontal="center" vertical="center"/>
    </xf>
    <xf numFmtId="14" fontId="0" fillId="14" borderId="18" xfId="0" applyNumberFormat="1" applyFill="1" applyBorder="1" applyAlignment="1">
      <alignment horizontal="center"/>
    </xf>
    <xf numFmtId="14" fontId="0" fillId="14" borderId="18" xfId="0" applyNumberFormat="1" applyFill="1" applyBorder="1" applyAlignment="1">
      <alignment horizontal="left"/>
    </xf>
    <xf numFmtId="0" fontId="0" fillId="14" borderId="18" xfId="0" applyFill="1" applyBorder="1" applyAlignment="1">
      <alignment horizontal="center"/>
    </xf>
    <xf numFmtId="0" fontId="0" fillId="0" borderId="17" xfId="0" applyBorder="1"/>
    <xf numFmtId="0" fontId="12" fillId="16" borderId="18" xfId="3" applyNumberFormat="1" applyFill="1" applyBorder="1" applyAlignment="1" applyProtection="1">
      <alignment horizontal="center" vertical="center" wrapText="1"/>
    </xf>
    <xf numFmtId="49" fontId="17" fillId="16" borderId="28" xfId="0" applyNumberFormat="1" applyFont="1" applyFill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2" fillId="16" borderId="18" xfId="3" applyFill="1" applyBorder="1" applyAlignment="1">
      <alignment horizontal="center" vertical="center"/>
    </xf>
    <xf numFmtId="0" fontId="17" fillId="16" borderId="19" xfId="0" applyFont="1" applyFill="1" applyBorder="1" applyAlignment="1">
      <alignment horizontal="center" vertical="center"/>
    </xf>
    <xf numFmtId="0" fontId="17" fillId="16" borderId="28" xfId="0" applyFont="1" applyFill="1" applyBorder="1" applyAlignment="1">
      <alignment horizontal="center" vertical="center"/>
    </xf>
    <xf numFmtId="14" fontId="12" fillId="16" borderId="10" xfId="3" applyNumberFormat="1" applyFill="1" applyBorder="1" applyAlignment="1" applyProtection="1">
      <alignment horizontal="center" vertical="center"/>
    </xf>
    <xf numFmtId="0" fontId="18" fillId="16" borderId="12" xfId="0" applyFont="1" applyFill="1" applyBorder="1" applyAlignment="1">
      <alignment horizontal="center"/>
    </xf>
    <xf numFmtId="3" fontId="18" fillId="16" borderId="18" xfId="0" applyNumberFormat="1" applyFont="1" applyFill="1" applyBorder="1" applyAlignment="1">
      <alignment horizontal="center" vertical="center"/>
    </xf>
    <xf numFmtId="49" fontId="18" fillId="16" borderId="18" xfId="0" applyNumberFormat="1" applyFont="1" applyFill="1" applyBorder="1" applyAlignment="1">
      <alignment horizontal="center" vertical="center"/>
    </xf>
    <xf numFmtId="14" fontId="12" fillId="16" borderId="18" xfId="3" applyNumberFormat="1" applyFill="1" applyBorder="1" applyAlignment="1" applyProtection="1">
      <alignment horizontal="center" vertical="center"/>
    </xf>
    <xf numFmtId="14" fontId="0" fillId="0" borderId="18" xfId="0" applyNumberFormat="1" applyBorder="1" applyAlignment="1">
      <alignment horizontal="center"/>
    </xf>
    <xf numFmtId="0" fontId="18" fillId="16" borderId="10" xfId="0" applyFont="1" applyFill="1" applyBorder="1" applyAlignment="1">
      <alignment horizontal="center"/>
    </xf>
    <xf numFmtId="0" fontId="18" fillId="16" borderId="18" xfId="0" applyFont="1" applyFill="1" applyBorder="1" applyAlignment="1">
      <alignment horizontal="center"/>
    </xf>
    <xf numFmtId="0" fontId="17" fillId="13" borderId="25" xfId="0" applyFont="1" applyFill="1" applyBorder="1" applyAlignment="1">
      <alignment horizontal="center" vertical="center"/>
    </xf>
    <xf numFmtId="3" fontId="17" fillId="13" borderId="23" xfId="0" applyNumberFormat="1" applyFont="1" applyFill="1" applyBorder="1" applyAlignment="1">
      <alignment horizontal="center" vertical="center"/>
    </xf>
    <xf numFmtId="49" fontId="17" fillId="13" borderId="23" xfId="0" applyNumberFormat="1" applyFont="1" applyFill="1" applyBorder="1" applyAlignment="1">
      <alignment horizontal="center" vertical="center"/>
    </xf>
    <xf numFmtId="0" fontId="17" fillId="13" borderId="23" xfId="0" applyFont="1" applyFill="1" applyBorder="1" applyAlignment="1">
      <alignment horizontal="center" vertical="center"/>
    </xf>
    <xf numFmtId="0" fontId="12" fillId="13" borderId="23" xfId="3" applyNumberFormat="1" applyFill="1" applyBorder="1" applyAlignment="1" applyProtection="1">
      <alignment horizontal="center" vertical="center"/>
    </xf>
    <xf numFmtId="0" fontId="17" fillId="13" borderId="17" xfId="0" applyFont="1" applyFill="1" applyBorder="1" applyAlignment="1">
      <alignment horizontal="center" vertical="center"/>
    </xf>
    <xf numFmtId="49" fontId="17" fillId="0" borderId="25" xfId="0" applyNumberFormat="1" applyFont="1" applyBorder="1" applyAlignment="1">
      <alignment horizontal="center" vertical="center"/>
    </xf>
    <xf numFmtId="0" fontId="12" fillId="0" borderId="26" xfId="3" applyFill="1" applyBorder="1" applyAlignment="1">
      <alignment horizontal="center"/>
    </xf>
    <xf numFmtId="0" fontId="17" fillId="18" borderId="29" xfId="0" applyFont="1" applyFill="1" applyBorder="1" applyAlignment="1">
      <alignment horizontal="center" vertical="center"/>
    </xf>
    <xf numFmtId="3" fontId="17" fillId="18" borderId="30" xfId="0" applyNumberFormat="1" applyFont="1" applyFill="1" applyBorder="1" applyAlignment="1">
      <alignment horizontal="center" vertical="center"/>
    </xf>
    <xf numFmtId="49" fontId="17" fillId="18" borderId="30" xfId="0" applyNumberFormat="1" applyFont="1" applyFill="1" applyBorder="1" applyAlignment="1">
      <alignment horizontal="center" vertical="center"/>
    </xf>
    <xf numFmtId="0" fontId="17" fillId="18" borderId="30" xfId="0" applyFont="1" applyFill="1" applyBorder="1" applyAlignment="1">
      <alignment horizontal="center" vertical="center"/>
    </xf>
    <xf numFmtId="0" fontId="19" fillId="18" borderId="30" xfId="0" applyFont="1" applyFill="1" applyBorder="1" applyAlignment="1">
      <alignment horizontal="center" vertical="center"/>
    </xf>
    <xf numFmtId="0" fontId="17" fillId="18" borderId="31" xfId="0" applyFont="1" applyFill="1" applyBorder="1" applyAlignment="1">
      <alignment horizontal="center" vertical="center"/>
    </xf>
    <xf numFmtId="49" fontId="17" fillId="0" borderId="29" xfId="0" applyNumberFormat="1" applyFont="1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12" fillId="0" borderId="31" xfId="3" applyFill="1" applyBorder="1"/>
    <xf numFmtId="0" fontId="17" fillId="18" borderId="25" xfId="0" applyFont="1" applyFill="1" applyBorder="1" applyAlignment="1">
      <alignment horizontal="center" vertical="center"/>
    </xf>
    <xf numFmtId="3" fontId="17" fillId="18" borderId="23" xfId="0" applyNumberFormat="1" applyFont="1" applyFill="1" applyBorder="1" applyAlignment="1">
      <alignment horizontal="center" vertical="center"/>
    </xf>
    <xf numFmtId="49" fontId="17" fillId="18" borderId="23" xfId="0" applyNumberFormat="1" applyFont="1" applyFill="1" applyBorder="1" applyAlignment="1">
      <alignment horizontal="center" vertical="center"/>
    </xf>
    <xf numFmtId="0" fontId="17" fillId="18" borderId="23" xfId="0" applyFont="1" applyFill="1" applyBorder="1" applyAlignment="1">
      <alignment horizontal="center" vertical="center"/>
    </xf>
    <xf numFmtId="0" fontId="19" fillId="18" borderId="23" xfId="0" applyFont="1" applyFill="1" applyBorder="1" applyAlignment="1">
      <alignment horizontal="center" vertical="center"/>
    </xf>
    <xf numFmtId="0" fontId="17" fillId="18" borderId="26" xfId="0" applyFont="1" applyFill="1" applyBorder="1" applyAlignment="1">
      <alignment horizontal="center" vertical="center"/>
    </xf>
    <xf numFmtId="0" fontId="17" fillId="18" borderId="9" xfId="0" applyFont="1" applyFill="1" applyBorder="1" applyAlignment="1">
      <alignment horizontal="center" vertical="center"/>
    </xf>
    <xf numFmtId="3" fontId="17" fillId="18" borderId="10" xfId="0" applyNumberFormat="1" applyFont="1" applyFill="1" applyBorder="1" applyAlignment="1">
      <alignment horizontal="center" vertical="center"/>
    </xf>
    <xf numFmtId="49" fontId="17" fillId="18" borderId="10" xfId="0" applyNumberFormat="1" applyFont="1" applyFill="1" applyBorder="1" applyAlignment="1">
      <alignment horizontal="center" vertical="center"/>
    </xf>
    <xf numFmtId="0" fontId="17" fillId="18" borderId="10" xfId="0" applyFont="1" applyFill="1" applyBorder="1" applyAlignment="1">
      <alignment horizontal="center" vertical="center"/>
    </xf>
    <xf numFmtId="0" fontId="19" fillId="18" borderId="10" xfId="0" applyFont="1" applyFill="1" applyBorder="1" applyAlignment="1">
      <alignment horizontal="center" vertical="center"/>
    </xf>
    <xf numFmtId="49" fontId="17" fillId="18" borderId="11" xfId="0" applyNumberFormat="1" applyFont="1" applyFill="1" applyBorder="1" applyAlignment="1">
      <alignment horizontal="center" vertical="center"/>
    </xf>
    <xf numFmtId="0" fontId="17" fillId="12" borderId="9" xfId="0" applyFont="1" applyFill="1" applyBorder="1" applyAlignment="1">
      <alignment horizontal="center" vertical="center"/>
    </xf>
    <xf numFmtId="3" fontId="17" fillId="12" borderId="10" xfId="0" applyNumberFormat="1" applyFont="1" applyFill="1" applyBorder="1" applyAlignment="1">
      <alignment horizontal="center" vertical="center"/>
    </xf>
    <xf numFmtId="49" fontId="17" fillId="12" borderId="10" xfId="0" applyNumberFormat="1" applyFont="1" applyFill="1" applyBorder="1" applyAlignment="1">
      <alignment horizontal="center" vertical="center"/>
    </xf>
    <xf numFmtId="0" fontId="17" fillId="12" borderId="10" xfId="0" applyFont="1" applyFill="1" applyBorder="1" applyAlignment="1">
      <alignment horizontal="center" vertical="center"/>
    </xf>
    <xf numFmtId="0" fontId="19" fillId="12" borderId="10" xfId="0" applyFont="1" applyFill="1" applyBorder="1" applyAlignment="1">
      <alignment horizontal="center" vertical="center"/>
    </xf>
    <xf numFmtId="49" fontId="17" fillId="12" borderId="11" xfId="0" applyNumberFormat="1" applyFont="1" applyFill="1" applyBorder="1" applyAlignment="1">
      <alignment horizontal="center" vertical="center"/>
    </xf>
    <xf numFmtId="0" fontId="0" fillId="0" borderId="13" xfId="0" applyBorder="1" applyAlignment="1">
      <alignment horizontal="right"/>
    </xf>
    <xf numFmtId="0" fontId="12" fillId="12" borderId="10" xfId="3" applyFill="1" applyBorder="1" applyAlignment="1">
      <alignment horizontal="center" vertical="center"/>
    </xf>
    <xf numFmtId="0" fontId="17" fillId="18" borderId="11" xfId="0" applyFont="1" applyFill="1" applyBorder="1" applyAlignment="1">
      <alignment horizontal="center" vertical="center"/>
    </xf>
    <xf numFmtId="0" fontId="17" fillId="12" borderId="11" xfId="0" applyFont="1" applyFill="1" applyBorder="1" applyAlignment="1">
      <alignment horizontal="center" vertical="center"/>
    </xf>
    <xf numFmtId="14" fontId="0" fillId="14" borderId="10" xfId="0" applyNumberFormat="1" applyFill="1" applyBorder="1" applyAlignment="1">
      <alignment horizontal="center"/>
    </xf>
    <xf numFmtId="0" fontId="0" fillId="14" borderId="10" xfId="0" applyFill="1" applyBorder="1" applyAlignment="1">
      <alignment horizontal="center"/>
    </xf>
    <xf numFmtId="0" fontId="0" fillId="0" borderId="30" xfId="0" applyBorder="1" applyAlignment="1">
      <alignment horizontal="left"/>
    </xf>
    <xf numFmtId="0" fontId="0" fillId="0" borderId="30" xfId="0" applyBorder="1"/>
    <xf numFmtId="0" fontId="0" fillId="0" borderId="31" xfId="0" applyBorder="1"/>
    <xf numFmtId="0" fontId="12" fillId="18" borderId="10" xfId="3" applyNumberFormat="1" applyFill="1" applyBorder="1" applyAlignment="1" applyProtection="1">
      <alignment horizontal="center" vertical="center"/>
    </xf>
    <xf numFmtId="0" fontId="12" fillId="18" borderId="30" xfId="3" applyNumberFormat="1" applyFill="1" applyBorder="1" applyAlignment="1" applyProtection="1">
      <alignment horizontal="center" vertical="center"/>
    </xf>
    <xf numFmtId="0" fontId="0" fillId="0" borderId="32" xfId="0" applyBorder="1" applyAlignment="1">
      <alignment horizontal="center"/>
    </xf>
    <xf numFmtId="0" fontId="0" fillId="0" borderId="32" xfId="0" applyBorder="1" applyAlignment="1">
      <alignment horizontal="left"/>
    </xf>
    <xf numFmtId="0" fontId="0" fillId="0" borderId="32" xfId="0" applyBorder="1"/>
    <xf numFmtId="0" fontId="0" fillId="0" borderId="33" xfId="0" applyBorder="1"/>
    <xf numFmtId="49" fontId="17" fillId="12" borderId="23" xfId="0" applyNumberFormat="1" applyFont="1" applyFill="1" applyBorder="1" applyAlignment="1">
      <alignment horizontal="center" vertical="center"/>
    </xf>
    <xf numFmtId="0" fontId="17" fillId="18" borderId="34" xfId="0" applyFont="1" applyFill="1" applyBorder="1" applyAlignment="1">
      <alignment horizontal="center" vertical="center"/>
    </xf>
    <xf numFmtId="3" fontId="17" fillId="18" borderId="13" xfId="0" applyNumberFormat="1" applyFont="1" applyFill="1" applyBorder="1" applyAlignment="1">
      <alignment horizontal="center" vertical="center"/>
    </xf>
    <xf numFmtId="49" fontId="17" fillId="18" borderId="13" xfId="0" applyNumberFormat="1" applyFont="1" applyFill="1" applyBorder="1" applyAlignment="1">
      <alignment horizontal="center" vertical="center"/>
    </xf>
    <xf numFmtId="0" fontId="17" fillId="18" borderId="13" xfId="0" applyFont="1" applyFill="1" applyBorder="1" applyAlignment="1">
      <alignment horizontal="center" vertical="center"/>
    </xf>
    <xf numFmtId="0" fontId="19" fillId="18" borderId="13" xfId="0" applyFont="1" applyFill="1" applyBorder="1" applyAlignment="1">
      <alignment horizontal="center" vertical="center"/>
    </xf>
    <xf numFmtId="49" fontId="17" fillId="18" borderId="27" xfId="0" applyNumberFormat="1" applyFont="1" applyFill="1" applyBorder="1" applyAlignment="1">
      <alignment horizontal="center" vertical="center"/>
    </xf>
    <xf numFmtId="0" fontId="0" fillId="0" borderId="13" xfId="0" applyBorder="1"/>
    <xf numFmtId="3" fontId="17" fillId="12" borderId="30" xfId="0" applyNumberFormat="1" applyFont="1" applyFill="1" applyBorder="1" applyAlignment="1">
      <alignment horizontal="center" vertical="center" wrapText="1"/>
    </xf>
    <xf numFmtId="49" fontId="17" fillId="12" borderId="30" xfId="0" applyNumberFormat="1" applyFont="1" applyFill="1" applyBorder="1" applyAlignment="1">
      <alignment horizontal="center" vertical="center"/>
    </xf>
    <xf numFmtId="0" fontId="17" fillId="12" borderId="30" xfId="0" applyFont="1" applyFill="1" applyBorder="1" applyAlignment="1">
      <alignment horizontal="center" vertical="center"/>
    </xf>
    <xf numFmtId="0" fontId="12" fillId="12" borderId="30" xfId="3" applyNumberFormat="1" applyFill="1" applyBorder="1" applyAlignment="1" applyProtection="1">
      <alignment horizontal="center" vertical="top" wrapText="1"/>
    </xf>
    <xf numFmtId="0" fontId="17" fillId="12" borderId="13" xfId="0" applyFont="1" applyFill="1" applyBorder="1" applyAlignment="1">
      <alignment horizontal="center" vertical="center"/>
    </xf>
    <xf numFmtId="49" fontId="17" fillId="12" borderId="16" xfId="0" applyNumberFormat="1" applyFont="1" applyFill="1" applyBorder="1" applyAlignment="1">
      <alignment horizontal="center" vertical="center"/>
    </xf>
    <xf numFmtId="0" fontId="24" fillId="0" borderId="10" xfId="0" applyFont="1" applyBorder="1"/>
    <xf numFmtId="0" fontId="17" fillId="12" borderId="29" xfId="0" applyFont="1" applyFill="1" applyBorder="1" applyAlignment="1">
      <alignment horizontal="center" vertical="center"/>
    </xf>
    <xf numFmtId="3" fontId="17" fillId="12" borderId="13" xfId="0" applyNumberFormat="1" applyFont="1" applyFill="1" applyBorder="1" applyAlignment="1">
      <alignment horizontal="center" vertical="center"/>
    </xf>
    <xf numFmtId="49" fontId="17" fillId="12" borderId="13" xfId="0" applyNumberFormat="1" applyFont="1" applyFill="1" applyBorder="1" applyAlignment="1">
      <alignment horizontal="center" vertical="center"/>
    </xf>
    <xf numFmtId="0" fontId="12" fillId="12" borderId="13" xfId="3" applyNumberFormat="1" applyFill="1" applyBorder="1" applyAlignment="1" applyProtection="1">
      <alignment horizontal="center" vertical="center"/>
    </xf>
    <xf numFmtId="49" fontId="17" fillId="12" borderId="15" xfId="0" applyNumberFormat="1" applyFont="1" applyFill="1" applyBorder="1" applyAlignment="1">
      <alignment horizontal="center" vertical="center"/>
    </xf>
    <xf numFmtId="49" fontId="12" fillId="0" borderId="10" xfId="3" applyNumberForma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  <xf numFmtId="0" fontId="12" fillId="0" borderId="0" xfId="3" applyFill="1" applyBorder="1"/>
    <xf numFmtId="0" fontId="17" fillId="19" borderId="22" xfId="0" applyFont="1" applyFill="1" applyBorder="1" applyAlignment="1">
      <alignment horizontal="center" vertical="center"/>
    </xf>
    <xf numFmtId="3" fontId="17" fillId="19" borderId="10" xfId="0" applyNumberFormat="1" applyFont="1" applyFill="1" applyBorder="1" applyAlignment="1">
      <alignment horizontal="center" vertical="center"/>
    </xf>
    <xf numFmtId="0" fontId="17" fillId="19" borderId="10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35" xfId="0" applyBorder="1" applyAlignment="1">
      <alignment horizontal="left"/>
    </xf>
    <xf numFmtId="0" fontId="0" fillId="0" borderId="35" xfId="0" applyBorder="1"/>
    <xf numFmtId="0" fontId="0" fillId="0" borderId="18" xfId="0" applyBorder="1"/>
    <xf numFmtId="3" fontId="17" fillId="19" borderId="18" xfId="0" applyNumberFormat="1" applyFont="1" applyFill="1" applyBorder="1" applyAlignment="1">
      <alignment horizontal="center" vertical="center"/>
    </xf>
    <xf numFmtId="0" fontId="17" fillId="19" borderId="18" xfId="0" applyFont="1" applyFill="1" applyBorder="1" applyAlignment="1">
      <alignment horizontal="center" vertical="center"/>
    </xf>
    <xf numFmtId="0" fontId="0" fillId="0" borderId="36" xfId="0" applyBorder="1"/>
    <xf numFmtId="0" fontId="17" fillId="19" borderId="9" xfId="0" applyFont="1" applyFill="1" applyBorder="1" applyAlignment="1">
      <alignment horizontal="center" vertical="center"/>
    </xf>
    <xf numFmtId="0" fontId="19" fillId="19" borderId="10" xfId="0" applyFont="1" applyFill="1" applyBorder="1" applyAlignment="1">
      <alignment horizontal="center" vertical="center"/>
    </xf>
    <xf numFmtId="0" fontId="17" fillId="20" borderId="10" xfId="0" applyFont="1" applyFill="1" applyBorder="1" applyAlignment="1">
      <alignment horizontal="center" vertical="center"/>
    </xf>
    <xf numFmtId="3" fontId="17" fillId="20" borderId="10" xfId="0" applyNumberFormat="1" applyFont="1" applyFill="1" applyBorder="1" applyAlignment="1">
      <alignment horizontal="center" vertical="center"/>
    </xf>
    <xf numFmtId="0" fontId="12" fillId="20" borderId="10" xfId="3" applyNumberFormat="1" applyFill="1" applyBorder="1" applyAlignment="1" applyProtection="1">
      <alignment horizontal="center" vertical="center"/>
    </xf>
    <xf numFmtId="0" fontId="22" fillId="19" borderId="10" xfId="0" applyFont="1" applyFill="1" applyBorder="1" applyAlignment="1">
      <alignment horizontal="center" vertical="center"/>
    </xf>
    <xf numFmtId="0" fontId="12" fillId="19" borderId="10" xfId="3" applyNumberFormat="1" applyFill="1" applyBorder="1" applyAlignment="1" applyProtection="1">
      <alignment horizontal="center" vertical="center"/>
    </xf>
    <xf numFmtId="0" fontId="25" fillId="20" borderId="10" xfId="0" applyFont="1" applyFill="1" applyBorder="1" applyAlignment="1">
      <alignment horizontal="center" vertical="center"/>
    </xf>
    <xf numFmtId="0" fontId="12" fillId="20" borderId="10" xfId="3" applyFill="1" applyBorder="1" applyAlignment="1">
      <alignment horizontal="center" vertical="center"/>
    </xf>
    <xf numFmtId="3" fontId="17" fillId="13" borderId="10" xfId="0" applyNumberFormat="1" applyFont="1" applyFill="1" applyBorder="1" applyAlignment="1">
      <alignment horizontal="center" vertical="center"/>
    </xf>
    <xf numFmtId="0" fontId="12" fillId="13" borderId="10" xfId="3" applyNumberFormat="1" applyFill="1" applyBorder="1" applyAlignment="1" applyProtection="1">
      <alignment horizontal="center" vertical="center"/>
    </xf>
    <xf numFmtId="0" fontId="22" fillId="13" borderId="10" xfId="0" applyFont="1" applyFill="1" applyBorder="1" applyAlignment="1">
      <alignment horizontal="center" vertical="center"/>
    </xf>
    <xf numFmtId="0" fontId="17" fillId="21" borderId="9" xfId="0" applyFont="1" applyFill="1" applyBorder="1" applyAlignment="1">
      <alignment horizontal="center" vertical="center"/>
    </xf>
    <xf numFmtId="3" fontId="17" fillId="21" borderId="13" xfId="0" applyNumberFormat="1" applyFont="1" applyFill="1" applyBorder="1" applyAlignment="1">
      <alignment horizontal="center" vertical="center"/>
    </xf>
    <xf numFmtId="0" fontId="17" fillId="21" borderId="13" xfId="0" applyFont="1" applyFill="1" applyBorder="1" applyAlignment="1">
      <alignment horizontal="center" vertical="center"/>
    </xf>
    <xf numFmtId="0" fontId="12" fillId="21" borderId="13" xfId="3" applyNumberFormat="1" applyFill="1" applyBorder="1" applyAlignment="1" applyProtection="1">
      <alignment horizontal="center" vertical="center"/>
    </xf>
    <xf numFmtId="49" fontId="17" fillId="21" borderId="35" xfId="0" applyNumberFormat="1" applyFont="1" applyFill="1" applyBorder="1" applyAlignment="1">
      <alignment horizontal="center" vertical="center"/>
    </xf>
    <xf numFmtId="0" fontId="17" fillId="21" borderId="35" xfId="0" applyFont="1" applyFill="1" applyBorder="1" applyAlignment="1">
      <alignment horizontal="center" vertical="center"/>
    </xf>
    <xf numFmtId="17" fontId="17" fillId="21" borderId="21" xfId="0" applyNumberFormat="1" applyFont="1" applyFill="1" applyBorder="1" applyAlignment="1">
      <alignment horizontal="center" vertical="center"/>
    </xf>
    <xf numFmtId="3" fontId="17" fillId="13" borderId="13" xfId="0" applyNumberFormat="1" applyFont="1" applyFill="1" applyBorder="1" applyAlignment="1">
      <alignment horizontal="center" vertical="center"/>
    </xf>
    <xf numFmtId="0" fontId="17" fillId="13" borderId="13" xfId="0" applyFont="1" applyFill="1" applyBorder="1" applyAlignment="1">
      <alignment horizontal="center" vertical="center"/>
    </xf>
    <xf numFmtId="0" fontId="12" fillId="13" borderId="13" xfId="3" applyNumberFormat="1" applyFill="1" applyBorder="1" applyAlignment="1" applyProtection="1">
      <alignment horizontal="center" vertical="center"/>
    </xf>
    <xf numFmtId="49" fontId="17" fillId="13" borderId="13" xfId="0" applyNumberFormat="1" applyFont="1" applyFill="1" applyBorder="1" applyAlignment="1">
      <alignment horizontal="center" vertical="center"/>
    </xf>
    <xf numFmtId="17" fontId="17" fillId="13" borderId="27" xfId="0" applyNumberFormat="1" applyFont="1" applyFill="1" applyBorder="1" applyAlignment="1">
      <alignment horizontal="center" vertical="center"/>
    </xf>
    <xf numFmtId="0" fontId="17" fillId="21" borderId="34" xfId="0" applyFont="1" applyFill="1" applyBorder="1" applyAlignment="1">
      <alignment horizontal="center" vertical="center"/>
    </xf>
    <xf numFmtId="49" fontId="17" fillId="21" borderId="13" xfId="0" applyNumberFormat="1" applyFont="1" applyFill="1" applyBorder="1" applyAlignment="1">
      <alignment horizontal="center" vertical="center"/>
    </xf>
    <xf numFmtId="0" fontId="17" fillId="21" borderId="15" xfId="0" applyFont="1" applyFill="1" applyBorder="1" applyAlignment="1">
      <alignment horizontal="center" vertical="center"/>
    </xf>
    <xf numFmtId="0" fontId="17" fillId="21" borderId="29" xfId="0" applyFont="1" applyFill="1" applyBorder="1" applyAlignment="1">
      <alignment horizontal="center" vertical="center"/>
    </xf>
    <xf numFmtId="49" fontId="17" fillId="21" borderId="11" xfId="0" applyNumberFormat="1" applyFont="1" applyFill="1" applyBorder="1" applyAlignment="1">
      <alignment horizontal="center" vertical="center"/>
    </xf>
    <xf numFmtId="0" fontId="17" fillId="21" borderId="10" xfId="0" applyFont="1" applyFill="1" applyBorder="1" applyAlignment="1">
      <alignment horizontal="center" vertical="center"/>
    </xf>
    <xf numFmtId="0" fontId="12" fillId="21" borderId="10" xfId="3" applyFill="1" applyBorder="1" applyAlignment="1">
      <alignment horizontal="center" vertical="center"/>
    </xf>
    <xf numFmtId="0" fontId="17" fillId="21" borderId="30" xfId="0" applyFont="1" applyFill="1" applyBorder="1" applyAlignment="1">
      <alignment horizontal="center" vertical="center"/>
    </xf>
    <xf numFmtId="49" fontId="17" fillId="21" borderId="30" xfId="0" applyNumberFormat="1" applyFont="1" applyFill="1" applyBorder="1" applyAlignment="1">
      <alignment horizontal="center" vertical="center"/>
    </xf>
    <xf numFmtId="0" fontId="17" fillId="21" borderId="31" xfId="0" applyFont="1" applyFill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15" xfId="6" applyFont="1" applyFill="1" applyBorder="1" applyAlignment="1" applyProtection="1">
      <alignment horizontal="center" vertical="center"/>
    </xf>
    <xf numFmtId="0" fontId="17" fillId="12" borderId="34" xfId="0" applyFont="1" applyFill="1" applyBorder="1" applyAlignment="1">
      <alignment horizontal="center" vertical="center"/>
    </xf>
    <xf numFmtId="49" fontId="12" fillId="12" borderId="16" xfId="3" applyNumberFormat="1" applyFill="1" applyBorder="1" applyAlignment="1" applyProtection="1">
      <alignment horizontal="center" vertical="center"/>
    </xf>
    <xf numFmtId="0" fontId="17" fillId="12" borderId="27" xfId="0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49" fontId="17" fillId="12" borderId="0" xfId="0" applyNumberFormat="1" applyFont="1" applyFill="1" applyAlignment="1">
      <alignment horizontal="center" vertical="center"/>
    </xf>
    <xf numFmtId="0" fontId="17" fillId="0" borderId="27" xfId="6" applyFont="1" applyFill="1" applyBorder="1" applyAlignment="1" applyProtection="1">
      <alignment horizontal="center" vertical="center"/>
    </xf>
    <xf numFmtId="0" fontId="17" fillId="22" borderId="9" xfId="0" applyFont="1" applyFill="1" applyBorder="1" applyAlignment="1">
      <alignment horizontal="center" vertical="center"/>
    </xf>
    <xf numFmtId="3" fontId="18" fillId="22" borderId="10" xfId="0" applyNumberFormat="1" applyFont="1" applyFill="1" applyBorder="1" applyAlignment="1">
      <alignment horizontal="center" vertical="center"/>
    </xf>
    <xf numFmtId="0" fontId="0" fillId="22" borderId="0" xfId="0" applyFill="1" applyAlignment="1">
      <alignment horizontal="center"/>
    </xf>
    <xf numFmtId="49" fontId="18" fillId="22" borderId="10" xfId="0" applyNumberFormat="1" applyFont="1" applyFill="1" applyBorder="1" applyAlignment="1">
      <alignment horizontal="center" vertical="center"/>
    </xf>
    <xf numFmtId="14" fontId="12" fillId="22" borderId="10" xfId="3" applyNumberFormat="1" applyFill="1" applyBorder="1" applyAlignment="1" applyProtection="1">
      <alignment horizontal="center" vertical="center"/>
    </xf>
    <xf numFmtId="0" fontId="18" fillId="22" borderId="10" xfId="0" applyFont="1" applyFill="1" applyBorder="1" applyAlignment="1">
      <alignment horizontal="center"/>
    </xf>
    <xf numFmtId="0" fontId="0" fillId="22" borderId="10" xfId="0" applyFill="1" applyBorder="1" applyAlignment="1">
      <alignment horizontal="center"/>
    </xf>
    <xf numFmtId="3" fontId="17" fillId="22" borderId="10" xfId="0" applyNumberFormat="1" applyFont="1" applyFill="1" applyBorder="1" applyAlignment="1">
      <alignment horizontal="center" vertical="center"/>
    </xf>
    <xf numFmtId="49" fontId="17" fillId="22" borderId="10" xfId="0" applyNumberFormat="1" applyFont="1" applyFill="1" applyBorder="1" applyAlignment="1">
      <alignment horizontal="center" vertical="center"/>
    </xf>
    <xf numFmtId="0" fontId="17" fillId="22" borderId="10" xfId="0" applyFont="1" applyFill="1" applyBorder="1" applyAlignment="1">
      <alignment horizontal="center" vertical="center"/>
    </xf>
    <xf numFmtId="0" fontId="12" fillId="22" borderId="10" xfId="3" applyFill="1" applyBorder="1" applyAlignment="1">
      <alignment horizontal="center" vertical="center"/>
    </xf>
    <xf numFmtId="14" fontId="12" fillId="22" borderId="10" xfId="3" applyNumberFormat="1" applyFill="1" applyBorder="1" applyAlignment="1">
      <alignment horizontal="center" vertical="center"/>
    </xf>
    <xf numFmtId="14" fontId="12" fillId="22" borderId="10" xfId="3" applyNumberFormat="1" applyFill="1" applyBorder="1" applyAlignment="1">
      <alignment horizontal="center"/>
    </xf>
    <xf numFmtId="0" fontId="18" fillId="22" borderId="10" xfId="0" applyFont="1" applyFill="1" applyBorder="1" applyAlignment="1">
      <alignment horizontal="center" vertical="center"/>
    </xf>
    <xf numFmtId="0" fontId="21" fillId="0" borderId="0" xfId="0" applyFont="1"/>
    <xf numFmtId="0" fontId="1" fillId="0" borderId="0" xfId="0" applyFont="1"/>
    <xf numFmtId="0" fontId="0" fillId="0" borderId="0" xfId="0" applyAlignment="1">
      <alignment vertical="center"/>
    </xf>
    <xf numFmtId="0" fontId="0" fillId="0" borderId="0" xfId="1" applyFont="1" applyFill="1" applyBorder="1" applyAlignment="1">
      <alignment horizontal="center" vertical="center"/>
    </xf>
    <xf numFmtId="0" fontId="0" fillId="0" borderId="0" xfId="1" applyFont="1" applyFill="1" applyBorder="1" applyAlignment="1">
      <alignment vertical="center"/>
    </xf>
    <xf numFmtId="0" fontId="12" fillId="0" borderId="0" xfId="3" applyFill="1" applyBorder="1" applyAlignment="1">
      <alignment horizontal="center"/>
    </xf>
    <xf numFmtId="0" fontId="0" fillId="23" borderId="0" xfId="1" applyFont="1" applyFill="1" applyBorder="1" applyAlignment="1">
      <alignment horizontal="center" vertical="center"/>
    </xf>
    <xf numFmtId="0" fontId="0" fillId="0" borderId="0" xfId="2" applyFont="1" applyFill="1" applyBorder="1" applyAlignment="1">
      <alignment horizontal="center" vertical="center"/>
    </xf>
  </cellXfs>
  <cellStyles count="7">
    <cellStyle name="Bueno" xfId="1" builtinId="26"/>
    <cellStyle name="Hipervínculo" xfId="3" builtinId="8"/>
    <cellStyle name="Hipervínculo 2" xfId="6" xr:uid="{383161B7-0151-4D96-B59E-D06BC84B4BD6}"/>
    <cellStyle name="Hipervínculo 3" xfId="5" xr:uid="{C1CF3D7C-6763-431A-B149-636FD9D42F59}"/>
    <cellStyle name="Neutral" xfId="2" builtinId="28"/>
    <cellStyle name="Normal" xfId="0" builtinId="0"/>
    <cellStyle name="Normal 2" xfId="4" xr:uid="{029D5285-775A-4CF2-9A3A-988C773B89C8}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rgb="FFFFEB9C"/>
          <bgColor rgb="FFFFFFFF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060649-8060-4033-9397-DFEB43B1227B}" name="Tabla1" displayName="Tabla1" ref="A5:H98" totalsRowShown="0">
  <autoFilter ref="A5:H98" xr:uid="{3C060649-8060-4033-9397-DFEB43B1227B}"/>
  <tableColumns count="8">
    <tableColumn id="15" xr3:uid="{3C7DD6DD-C3EA-4948-A756-73F265CC9A65}" name="RUT"/>
    <tableColumn id="14" xr3:uid="{78E42C9A-C4F3-4997-B3DC-F9E4DEFCFC16}" name="Nombre"/>
    <tableColumn id="6" xr3:uid="{2E1E1186-CBA2-4AF8-91D6-1D9F3B489326}" name="Grado"/>
    <tableColumn id="7" xr3:uid="{BD9C3DED-037E-4212-BB4D-82B75AF85ECA}" name="Calidad Jurídica"/>
    <tableColumn id="8" xr3:uid="{9E2E1165-96B9-4B3F-AE89-2D218D5780D9}" name="Cargo"/>
    <tableColumn id="11" xr3:uid="{601344F0-1AB4-40EB-8A1A-553845B93CD2}" name="Correo Electrónico Institucional"/>
    <tableColumn id="13" xr3:uid="{4BE06E12-CE65-4924-A485-1E621AD9502F}" name="Unidad"/>
    <tableColumn id="1" xr3:uid="{BE79BA34-32CA-42B3-8A90-E587E1CC07BE}" name="Observación"/>
  </tableColumns>
  <tableStyleInfo name="TableStyleLight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E07DEA-C428-4C44-8D73-2A0B2E7A0DDF}" name="Tabla13" displayName="Tabla13" ref="A2:M30" totalsRowShown="0">
  <autoFilter ref="A2:M30" xr:uid="{B5E07DEA-C428-4C44-8D73-2A0B2E7A0DDF}"/>
  <sortState xmlns:xlrd2="http://schemas.microsoft.com/office/spreadsheetml/2017/richdata2" ref="A3:M26">
    <sortCondition sortBy="cellColor" ref="D2:D30" dxfId="2"/>
  </sortState>
  <tableColumns count="13">
    <tableColumn id="1" xr3:uid="{D392DB4B-1EBE-4CC8-808A-5105B13ED2FE}" name="Columna1"/>
    <tableColumn id="11" xr3:uid="{B9DFAE99-71A7-4F60-B438-17C633E17366}" name="RUT"/>
    <tableColumn id="15" xr3:uid="{05570E6A-6A03-443D-8EF3-D90B9B85E1ED}" name="ROL"/>
    <tableColumn id="2" xr3:uid="{CF35C06B-33F0-4314-8923-233B3983B3E9}" name="Tribunal" dataDxfId="1" dataCellStyle="Bueno"/>
    <tableColumn id="17" xr3:uid="{FA22C4B3-724A-4256-A618-FC81000498EF}" name="Ministro (a) Visitador (a)" dataDxfId="0" dataCellStyle="Bueno"/>
    <tableColumn id="4" xr3:uid="{E15526F3-2CE9-47C1-8D92-44B56E39A581}" name="Correo"/>
    <tableColumn id="5" xr3:uid="{FD6C2F00-52C8-46E2-BD93-F2D8C191CBAC}" name="Civil "/>
    <tableColumn id="6" xr3:uid="{A92028F5-7BAF-400E-A862-C39FD7C4B0F2}" name="Laboral "/>
    <tableColumn id="7" xr3:uid="{9C8F9EE5-E657-48A0-A5DE-B62B24BB572A}" name="Cobranza "/>
    <tableColumn id="8" xr3:uid="{41FBC789-59F3-4535-877F-E83A2176CDB3}" name="Familia "/>
    <tableColumn id="9" xr3:uid="{D6B46988-5A65-484D-9109-0BEBE4F38C7D}" name="Penal "/>
    <tableColumn id="10" xr3:uid="{FEC521BE-AFA1-4770-B9B8-2DD37E2055A3}" name="Reformado"/>
    <tableColumn id="13" xr3:uid="{A7C3F66E-21F8-40B7-965A-8B206FD4291C}" name="Teléfono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fiscaliajudicial2_calaserena@pjud.cl" TargetMode="External"/><Relationship Id="rId18" Type="http://schemas.openxmlformats.org/officeDocument/2006/relationships/hyperlink" Target="mailto:fvilchesc@pjud.cl" TargetMode="External"/><Relationship Id="rId26" Type="http://schemas.openxmlformats.org/officeDocument/2006/relationships/hyperlink" Target="mailto:aferreirab@pjud.cl" TargetMode="External"/><Relationship Id="rId39" Type="http://schemas.openxmlformats.org/officeDocument/2006/relationships/hyperlink" Target="mailto:pdgutierrez@pjud.cl" TargetMode="External"/><Relationship Id="rId21" Type="http://schemas.openxmlformats.org/officeDocument/2006/relationships/hyperlink" Target="mailto:unidadcausas_ca_laserena@pjud.cl" TargetMode="External"/><Relationship Id="rId34" Type="http://schemas.openxmlformats.org/officeDocument/2006/relationships/hyperlink" Target="mailto:jolave@pjud.cl" TargetMode="External"/><Relationship Id="rId7" Type="http://schemas.openxmlformats.org/officeDocument/2006/relationships/hyperlink" Target="mailto:icorona@pjud.cl;icorona64@hotmail.com" TargetMode="External"/><Relationship Id="rId12" Type="http://schemas.openxmlformats.org/officeDocument/2006/relationships/hyperlink" Target="mailto:cavidals@pjud.cl" TargetMode="External"/><Relationship Id="rId17" Type="http://schemas.openxmlformats.org/officeDocument/2006/relationships/hyperlink" Target="mailto:calvarezl@pjud.cl" TargetMode="External"/><Relationship Id="rId25" Type="http://schemas.openxmlformats.org/officeDocument/2006/relationships/hyperlink" Target="mailto:aaguilera@pjud.cl" TargetMode="External"/><Relationship Id="rId33" Type="http://schemas.openxmlformats.org/officeDocument/2006/relationships/hyperlink" Target="mailto:crsantander@pjud.cl" TargetMode="External"/><Relationship Id="rId38" Type="http://schemas.openxmlformats.org/officeDocument/2006/relationships/hyperlink" Target="mailto:cfsepulveda@pjud.cl" TargetMode="External"/><Relationship Id="rId2" Type="http://schemas.openxmlformats.org/officeDocument/2006/relationships/hyperlink" Target="mailto:gnegroni@pjud.cl;gloria.negroni24@gmail.com" TargetMode="External"/><Relationship Id="rId16" Type="http://schemas.openxmlformats.org/officeDocument/2006/relationships/hyperlink" Target="mailto:cvargasp@pjud.cl" TargetMode="External"/><Relationship Id="rId20" Type="http://schemas.openxmlformats.org/officeDocument/2006/relationships/hyperlink" Target="mailto:dmarin@pjud.cl" TargetMode="External"/><Relationship Id="rId29" Type="http://schemas.openxmlformats.org/officeDocument/2006/relationships/hyperlink" Target="mailto:amauad@pjud.cl" TargetMode="External"/><Relationship Id="rId1" Type="http://schemas.openxmlformats.org/officeDocument/2006/relationships/hyperlink" Target="mailto:hacontreras@pjud.cl" TargetMode="External"/><Relationship Id="rId6" Type="http://schemas.openxmlformats.org/officeDocument/2006/relationships/hyperlink" Target="mailto:stroncoso@pjud.cl;sergio.coquimbano@gmail.com" TargetMode="External"/><Relationship Id="rId11" Type="http://schemas.openxmlformats.org/officeDocument/2006/relationships/hyperlink" Target="mailto:lediaz@pjud.cl/svasquezg@pjud.cl" TargetMode="External"/><Relationship Id="rId24" Type="http://schemas.openxmlformats.org/officeDocument/2006/relationships/hyperlink" Target="mailto:calvarezl@pjud.cl" TargetMode="External"/><Relationship Id="rId32" Type="http://schemas.openxmlformats.org/officeDocument/2006/relationships/hyperlink" Target="mailto:ucg_calaserena@pjud.cl" TargetMode="External"/><Relationship Id="rId37" Type="http://schemas.openxmlformats.org/officeDocument/2006/relationships/hyperlink" Target="mailto:pvalenzuelag@pjud.cl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mailto:fpulgar@pjud.cl;felopulgar@gmail.com" TargetMode="External"/><Relationship Id="rId15" Type="http://schemas.openxmlformats.org/officeDocument/2006/relationships/hyperlink" Target="mailto:lcarvajalg@pjud.cl" TargetMode="External"/><Relationship Id="rId23" Type="http://schemas.openxmlformats.org/officeDocument/2006/relationships/hyperlink" Target="mailto:mrocco@pjud.cl" TargetMode="External"/><Relationship Id="rId28" Type="http://schemas.openxmlformats.org/officeDocument/2006/relationships/hyperlink" Target="mailto:ifescobar@pjud.cl" TargetMode="External"/><Relationship Id="rId36" Type="http://schemas.openxmlformats.org/officeDocument/2006/relationships/hyperlink" Target="mailto:stroncoso@pjud.cl;sergio.coquimbano@gmail.com" TargetMode="External"/><Relationship Id="rId10" Type="http://schemas.openxmlformats.org/officeDocument/2006/relationships/hyperlink" Target="mailto:fiscaliajudicial1_calaserena@pjud.cl" TargetMode="External"/><Relationship Id="rId19" Type="http://schemas.openxmlformats.org/officeDocument/2006/relationships/hyperlink" Target="mailto:cmcastro@pjud.cl" TargetMode="External"/><Relationship Id="rId31" Type="http://schemas.openxmlformats.org/officeDocument/2006/relationships/hyperlink" Target="mailto:gtalcado@pjud.cl" TargetMode="External"/><Relationship Id="rId4" Type="http://schemas.openxmlformats.org/officeDocument/2006/relationships/hyperlink" Target="mailto:clecerf@pjud.cl;clcpjud@gmail.com" TargetMode="External"/><Relationship Id="rId9" Type="http://schemas.openxmlformats.org/officeDocument/2006/relationships/hyperlink" Target="mailto:rpdiaz@pjud.cl" TargetMode="External"/><Relationship Id="rId14" Type="http://schemas.openxmlformats.org/officeDocument/2006/relationships/hyperlink" Target="mailto:clettura@pjud.cl" TargetMode="External"/><Relationship Id="rId22" Type="http://schemas.openxmlformats.org/officeDocument/2006/relationships/hyperlink" Target="mailto:vncarvajal@pjud.cl" TargetMode="External"/><Relationship Id="rId27" Type="http://schemas.openxmlformats.org/officeDocument/2006/relationships/hyperlink" Target="mailto:mncontrerasa@pjud.cl" TargetMode="External"/><Relationship Id="rId30" Type="http://schemas.openxmlformats.org/officeDocument/2006/relationships/hyperlink" Target="mailto:lvflores@pjud.cl" TargetMode="External"/><Relationship Id="rId35" Type="http://schemas.openxmlformats.org/officeDocument/2006/relationships/hyperlink" Target="mailto:pleno_ca_laserena@pjud.cl" TargetMode="External"/><Relationship Id="rId8" Type="http://schemas.openxmlformats.org/officeDocument/2006/relationships/hyperlink" Target="mailto:masandoval@pjud.cl;masandovalduran@gmail.com" TargetMode="External"/><Relationship Id="rId3" Type="http://schemas.openxmlformats.org/officeDocument/2006/relationships/hyperlink" Target="mailto:gnegroni@pjud.cl;gloria.negroni24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ivalenzuelab@pjud.cl" TargetMode="External"/><Relationship Id="rId21" Type="http://schemas.openxmlformats.org/officeDocument/2006/relationships/hyperlink" Target="mailto:rcanalesu@pjud.cl" TargetMode="External"/><Relationship Id="rId42" Type="http://schemas.openxmlformats.org/officeDocument/2006/relationships/hyperlink" Target="mailto:fatapia@pjud.cl" TargetMode="External"/><Relationship Id="rId63" Type="http://schemas.openxmlformats.org/officeDocument/2006/relationships/hyperlink" Target="mailto:mpramirezm@pjud.cl" TargetMode="External"/><Relationship Id="rId84" Type="http://schemas.openxmlformats.org/officeDocument/2006/relationships/hyperlink" Target="mailto:paalvarezb@pjud.cl" TargetMode="External"/><Relationship Id="rId138" Type="http://schemas.openxmlformats.org/officeDocument/2006/relationships/hyperlink" Target="mailto:vmardonesr@pjud.cl" TargetMode="External"/><Relationship Id="rId159" Type="http://schemas.openxmlformats.org/officeDocument/2006/relationships/hyperlink" Target="mailto:paramirezra@pjud.cl" TargetMode="External"/><Relationship Id="rId170" Type="http://schemas.openxmlformats.org/officeDocument/2006/relationships/hyperlink" Target="mailto:aferreirab@pjud.cl" TargetMode="External"/><Relationship Id="rId107" Type="http://schemas.openxmlformats.org/officeDocument/2006/relationships/hyperlink" Target="mailto:dpizarroo@pjud.cl" TargetMode="External"/><Relationship Id="rId11" Type="http://schemas.openxmlformats.org/officeDocument/2006/relationships/hyperlink" Target="mailto:fpulgar@pjud.cl" TargetMode="External"/><Relationship Id="rId32" Type="http://schemas.openxmlformats.org/officeDocument/2006/relationships/hyperlink" Target="mailto:molivareso@pjud.cl" TargetMode="External"/><Relationship Id="rId53" Type="http://schemas.openxmlformats.org/officeDocument/2006/relationships/hyperlink" Target="mailto:gnegroni@pjud.cl" TargetMode="External"/><Relationship Id="rId74" Type="http://schemas.openxmlformats.org/officeDocument/2006/relationships/hyperlink" Target="mailto:aearaya@pjud.cl" TargetMode="External"/><Relationship Id="rId128" Type="http://schemas.openxmlformats.org/officeDocument/2006/relationships/hyperlink" Target="mailto:tasepulveda@pjud.cl" TargetMode="External"/><Relationship Id="rId149" Type="http://schemas.openxmlformats.org/officeDocument/2006/relationships/hyperlink" Target="mailto:aalvarezj@pjud.cl" TargetMode="External"/><Relationship Id="rId5" Type="http://schemas.openxmlformats.org/officeDocument/2006/relationships/hyperlink" Target="mailto:hrottelly@pjud.cl" TargetMode="External"/><Relationship Id="rId95" Type="http://schemas.openxmlformats.org/officeDocument/2006/relationships/hyperlink" Target="mailto:capmolinaa@pjud.cl" TargetMode="External"/><Relationship Id="rId160" Type="http://schemas.openxmlformats.org/officeDocument/2006/relationships/hyperlink" Target="mailto:pjfredes@pjud.cl" TargetMode="External"/><Relationship Id="rId22" Type="http://schemas.openxmlformats.org/officeDocument/2006/relationships/hyperlink" Target="mailto:faleon@pjud.cl" TargetMode="External"/><Relationship Id="rId43" Type="http://schemas.openxmlformats.org/officeDocument/2006/relationships/hyperlink" Target="mailto:ncamposl@pjud.cl" TargetMode="External"/><Relationship Id="rId64" Type="http://schemas.openxmlformats.org/officeDocument/2006/relationships/hyperlink" Target="mailto:fialvarez@pjud.cl" TargetMode="External"/><Relationship Id="rId118" Type="http://schemas.openxmlformats.org/officeDocument/2006/relationships/hyperlink" Target="mailto:amanusakis@pjud.cl" TargetMode="External"/><Relationship Id="rId139" Type="http://schemas.openxmlformats.org/officeDocument/2006/relationships/hyperlink" Target="mailto:vpandrade@pjud.cl" TargetMode="External"/><Relationship Id="rId85" Type="http://schemas.openxmlformats.org/officeDocument/2006/relationships/hyperlink" Target="mailto:jasilva@pjud.cl" TargetMode="External"/><Relationship Id="rId150" Type="http://schemas.openxmlformats.org/officeDocument/2006/relationships/hyperlink" Target="mailto:milabaca@pjud.cl" TargetMode="External"/><Relationship Id="rId171" Type="http://schemas.openxmlformats.org/officeDocument/2006/relationships/hyperlink" Target="mailto:mgmontero@pjud.cl" TargetMode="External"/><Relationship Id="rId12" Type="http://schemas.openxmlformats.org/officeDocument/2006/relationships/hyperlink" Target="mailto:pjvega@pjud.cl" TargetMode="External"/><Relationship Id="rId33" Type="http://schemas.openxmlformats.org/officeDocument/2006/relationships/hyperlink" Target="mailto:llabra@pjud.cl" TargetMode="External"/><Relationship Id="rId108" Type="http://schemas.openxmlformats.org/officeDocument/2006/relationships/hyperlink" Target="mailto:pvalenzuelag@pjud.cl" TargetMode="External"/><Relationship Id="rId129" Type="http://schemas.openxmlformats.org/officeDocument/2006/relationships/hyperlink" Target="mailto:nlmunizaga@pjud.cl" TargetMode="External"/><Relationship Id="rId54" Type="http://schemas.openxmlformats.org/officeDocument/2006/relationships/hyperlink" Target="mailto:cralvarez@pjud.cl" TargetMode="External"/><Relationship Id="rId75" Type="http://schemas.openxmlformats.org/officeDocument/2006/relationships/hyperlink" Target="mailto:pnaim@pjud.cl" TargetMode="External"/><Relationship Id="rId96" Type="http://schemas.openxmlformats.org/officeDocument/2006/relationships/hyperlink" Target="mailto:crsantander@pjud.cl" TargetMode="External"/><Relationship Id="rId140" Type="http://schemas.openxmlformats.org/officeDocument/2006/relationships/hyperlink" Target="mailto:ktapiaa@poderjudicial.cl" TargetMode="External"/><Relationship Id="rId161" Type="http://schemas.openxmlformats.org/officeDocument/2006/relationships/hyperlink" Target="mailto:mcabrerav@pjud.cl" TargetMode="External"/><Relationship Id="rId6" Type="http://schemas.openxmlformats.org/officeDocument/2006/relationships/hyperlink" Target="mailto:gcortes@pjud.cl" TargetMode="External"/><Relationship Id="rId23" Type="http://schemas.openxmlformats.org/officeDocument/2006/relationships/hyperlink" Target="mailto:raolivares@pjud.cl" TargetMode="External"/><Relationship Id="rId28" Type="http://schemas.openxmlformats.org/officeDocument/2006/relationships/hyperlink" Target="mailto:gvidal@pjud.cl" TargetMode="External"/><Relationship Id="rId49" Type="http://schemas.openxmlformats.org/officeDocument/2006/relationships/hyperlink" Target="mailto:nrojass@pjud.cl" TargetMode="External"/><Relationship Id="rId114" Type="http://schemas.openxmlformats.org/officeDocument/2006/relationships/hyperlink" Target="mailto:ibahamonde@pjud.cl" TargetMode="External"/><Relationship Id="rId119" Type="http://schemas.openxmlformats.org/officeDocument/2006/relationships/hyperlink" Target="mailto:dkong@pjud.cl" TargetMode="External"/><Relationship Id="rId44" Type="http://schemas.openxmlformats.org/officeDocument/2006/relationships/hyperlink" Target="mailto:dcortesh@pjud.cl" TargetMode="External"/><Relationship Id="rId60" Type="http://schemas.openxmlformats.org/officeDocument/2006/relationships/hyperlink" Target="mailto:aaguilera@pjud.cl" TargetMode="External"/><Relationship Id="rId65" Type="http://schemas.openxmlformats.org/officeDocument/2006/relationships/hyperlink" Target="mailto:cceronp@pjud.cl" TargetMode="External"/><Relationship Id="rId81" Type="http://schemas.openxmlformats.org/officeDocument/2006/relationships/hyperlink" Target="mailto:bfmerino@pjud.cl" TargetMode="External"/><Relationship Id="rId86" Type="http://schemas.openxmlformats.org/officeDocument/2006/relationships/hyperlink" Target="mailto:lmendez@pjud.cl" TargetMode="External"/><Relationship Id="rId130" Type="http://schemas.openxmlformats.org/officeDocument/2006/relationships/hyperlink" Target="mailto:pgonzalezp@pjud.cl" TargetMode="External"/><Relationship Id="rId135" Type="http://schemas.openxmlformats.org/officeDocument/2006/relationships/hyperlink" Target="mailto:acarvajall@pjud.cl" TargetMode="External"/><Relationship Id="rId151" Type="http://schemas.openxmlformats.org/officeDocument/2006/relationships/hyperlink" Target="mailto:dfacuna@pjud.cl" TargetMode="External"/><Relationship Id="rId156" Type="http://schemas.openxmlformats.org/officeDocument/2006/relationships/hyperlink" Target="mailto:pyanezd@pjud.cl" TargetMode="External"/><Relationship Id="rId177" Type="http://schemas.openxmlformats.org/officeDocument/2006/relationships/vmlDrawing" Target="../drawings/vmlDrawing1.vml"/><Relationship Id="rId172" Type="http://schemas.openxmlformats.org/officeDocument/2006/relationships/hyperlink" Target="mailto:cavidals@pjud.cl" TargetMode="External"/><Relationship Id="rId13" Type="http://schemas.openxmlformats.org/officeDocument/2006/relationships/hyperlink" Target="mailto:calvarezl@pjud.cl" TargetMode="External"/><Relationship Id="rId18" Type="http://schemas.openxmlformats.org/officeDocument/2006/relationships/hyperlink" Target="mailto:plhuerta@pjud.cl" TargetMode="External"/><Relationship Id="rId39" Type="http://schemas.openxmlformats.org/officeDocument/2006/relationships/hyperlink" Target="mailto:irodriguezc@pjud.cl" TargetMode="External"/><Relationship Id="rId109" Type="http://schemas.openxmlformats.org/officeDocument/2006/relationships/hyperlink" Target="mailto:aarqueros@pjud.cl" TargetMode="External"/><Relationship Id="rId34" Type="http://schemas.openxmlformats.org/officeDocument/2006/relationships/hyperlink" Target="mailto:masandoval@pjud.cl" TargetMode="External"/><Relationship Id="rId50" Type="http://schemas.openxmlformats.org/officeDocument/2006/relationships/hyperlink" Target="mailto:ygutierrezg@pjud.cl" TargetMode="External"/><Relationship Id="rId55" Type="http://schemas.openxmlformats.org/officeDocument/2006/relationships/hyperlink" Target="mailto:maaranda@pjud.cl" TargetMode="External"/><Relationship Id="rId76" Type="http://schemas.openxmlformats.org/officeDocument/2006/relationships/hyperlink" Target="mailto:ccuadrac@pjud.cl" TargetMode="External"/><Relationship Id="rId97" Type="http://schemas.openxmlformats.org/officeDocument/2006/relationships/hyperlink" Target="mailto:dcorralm@pjud.cl" TargetMode="External"/><Relationship Id="rId104" Type="http://schemas.openxmlformats.org/officeDocument/2006/relationships/hyperlink" Target="mailto:lcarrascov@pjud.cl" TargetMode="External"/><Relationship Id="rId120" Type="http://schemas.openxmlformats.org/officeDocument/2006/relationships/hyperlink" Target="mailto:jmvillalobos@pjud.cl" TargetMode="External"/><Relationship Id="rId125" Type="http://schemas.openxmlformats.org/officeDocument/2006/relationships/hyperlink" Target="mailto:cberriosp@pjud.cl" TargetMode="External"/><Relationship Id="rId141" Type="http://schemas.openxmlformats.org/officeDocument/2006/relationships/hyperlink" Target="mailto:aatorres@pjud.cl" TargetMode="External"/><Relationship Id="rId146" Type="http://schemas.openxmlformats.org/officeDocument/2006/relationships/hyperlink" Target="mailto:pajorquera@pjud.cl" TargetMode="External"/><Relationship Id="rId167" Type="http://schemas.openxmlformats.org/officeDocument/2006/relationships/hyperlink" Target="mailto:gnrivera@pjud.cl" TargetMode="External"/><Relationship Id="rId7" Type="http://schemas.openxmlformats.org/officeDocument/2006/relationships/hyperlink" Target="mailto:mnavarrete@pjud.cl" TargetMode="External"/><Relationship Id="rId71" Type="http://schemas.openxmlformats.org/officeDocument/2006/relationships/hyperlink" Target="mailto:pmilla@pjud.cl" TargetMode="External"/><Relationship Id="rId92" Type="http://schemas.openxmlformats.org/officeDocument/2006/relationships/hyperlink" Target="mailto:rjtoledo@pjud.cl" TargetMode="External"/><Relationship Id="rId162" Type="http://schemas.openxmlformats.org/officeDocument/2006/relationships/hyperlink" Target="mailto:pdgutierrez@pjud.cl" TargetMode="External"/><Relationship Id="rId2" Type="http://schemas.openxmlformats.org/officeDocument/2006/relationships/hyperlink" Target="mailto:elopezl@pjud.cl" TargetMode="External"/><Relationship Id="rId29" Type="http://schemas.openxmlformats.org/officeDocument/2006/relationships/hyperlink" Target="mailto:nrojasc@pjud.cl" TargetMode="External"/><Relationship Id="rId24" Type="http://schemas.openxmlformats.org/officeDocument/2006/relationships/hyperlink" Target="mailto:ibahamonde@pjud.cl" TargetMode="External"/><Relationship Id="rId40" Type="http://schemas.openxmlformats.org/officeDocument/2006/relationships/hyperlink" Target="mailto:nguajardo@pjud.cl" TargetMode="External"/><Relationship Id="rId45" Type="http://schemas.openxmlformats.org/officeDocument/2006/relationships/hyperlink" Target="mailto:kfloresa@pjud.cl" TargetMode="External"/><Relationship Id="rId66" Type="http://schemas.openxmlformats.org/officeDocument/2006/relationships/hyperlink" Target="mailto:morellanar@pjud.cl" TargetMode="External"/><Relationship Id="rId87" Type="http://schemas.openxmlformats.org/officeDocument/2006/relationships/hyperlink" Target="mailto:rlrojasa@pjud.cl" TargetMode="External"/><Relationship Id="rId110" Type="http://schemas.openxmlformats.org/officeDocument/2006/relationships/hyperlink" Target="mailto:myagnam@pjud.cl" TargetMode="External"/><Relationship Id="rId115" Type="http://schemas.openxmlformats.org/officeDocument/2006/relationships/hyperlink" Target="mailto:srioseco@pjud.cl" TargetMode="External"/><Relationship Id="rId131" Type="http://schemas.openxmlformats.org/officeDocument/2006/relationships/hyperlink" Target="mailto:mgallardoa@pjud.cl" TargetMode="External"/><Relationship Id="rId136" Type="http://schemas.openxmlformats.org/officeDocument/2006/relationships/hyperlink" Target="mailto:cpenaylillo@pjud.cl" TargetMode="External"/><Relationship Id="rId157" Type="http://schemas.openxmlformats.org/officeDocument/2006/relationships/hyperlink" Target="mailto:dbriceno@pjud.cl" TargetMode="External"/><Relationship Id="rId178" Type="http://schemas.openxmlformats.org/officeDocument/2006/relationships/comments" Target="../comments1.xml"/><Relationship Id="rId61" Type="http://schemas.openxmlformats.org/officeDocument/2006/relationships/hyperlink" Target="mailto:gfhernandez@pjud.cl" TargetMode="External"/><Relationship Id="rId82" Type="http://schemas.openxmlformats.org/officeDocument/2006/relationships/hyperlink" Target="mailto:kschonherr@pjud.cl" TargetMode="External"/><Relationship Id="rId152" Type="http://schemas.openxmlformats.org/officeDocument/2006/relationships/hyperlink" Target="mailto:mcolivares@pjud.cl" TargetMode="External"/><Relationship Id="rId173" Type="http://schemas.openxmlformats.org/officeDocument/2006/relationships/hyperlink" Target="mailto:lcarvajalg@pjud.cl" TargetMode="External"/><Relationship Id="rId19" Type="http://schemas.openxmlformats.org/officeDocument/2006/relationships/hyperlink" Target="mailto:nitapia@pjud.cl" TargetMode="External"/><Relationship Id="rId14" Type="http://schemas.openxmlformats.org/officeDocument/2006/relationships/hyperlink" Target="mailto:macontador@pjud.cl" TargetMode="External"/><Relationship Id="rId30" Type="http://schemas.openxmlformats.org/officeDocument/2006/relationships/hyperlink" Target="mailto:rsilaya@pjud.cl" TargetMode="External"/><Relationship Id="rId35" Type="http://schemas.openxmlformats.org/officeDocument/2006/relationships/hyperlink" Target="mailto:dfmunoz@pjud.cl" TargetMode="External"/><Relationship Id="rId56" Type="http://schemas.openxmlformats.org/officeDocument/2006/relationships/hyperlink" Target="mailto:cbravom@pjud.cl" TargetMode="External"/><Relationship Id="rId77" Type="http://schemas.openxmlformats.org/officeDocument/2006/relationships/hyperlink" Target="mailto:ngodoya@pjud.cl" TargetMode="External"/><Relationship Id="rId100" Type="http://schemas.openxmlformats.org/officeDocument/2006/relationships/hyperlink" Target="mailto:cmcastro@pjud.cl" TargetMode="External"/><Relationship Id="rId105" Type="http://schemas.openxmlformats.org/officeDocument/2006/relationships/hyperlink" Target="mailto:millanesv@pjud.cl" TargetMode="External"/><Relationship Id="rId126" Type="http://schemas.openxmlformats.org/officeDocument/2006/relationships/hyperlink" Target="mailto:cfsepulveda@pjud.cl" TargetMode="External"/><Relationship Id="rId147" Type="http://schemas.openxmlformats.org/officeDocument/2006/relationships/hyperlink" Target="mailto:indiaz@pjud.cl" TargetMode="External"/><Relationship Id="rId168" Type="http://schemas.openxmlformats.org/officeDocument/2006/relationships/hyperlink" Target="mailto:ctapiap@pjud.cl" TargetMode="External"/><Relationship Id="rId8" Type="http://schemas.openxmlformats.org/officeDocument/2006/relationships/hyperlink" Target="mailto:ceflores@pjud.cl" TargetMode="External"/><Relationship Id="rId51" Type="http://schemas.openxmlformats.org/officeDocument/2006/relationships/hyperlink" Target="mailto:yquintana@pjud.cl" TargetMode="External"/><Relationship Id="rId72" Type="http://schemas.openxmlformats.org/officeDocument/2006/relationships/hyperlink" Target="mailto:friveram@pjud.cl" TargetMode="External"/><Relationship Id="rId93" Type="http://schemas.openxmlformats.org/officeDocument/2006/relationships/hyperlink" Target="mailto:jolave@pjud.cl" TargetMode="External"/><Relationship Id="rId98" Type="http://schemas.openxmlformats.org/officeDocument/2006/relationships/hyperlink" Target="mailto:keyzaguirre@pjud.cl" TargetMode="External"/><Relationship Id="rId121" Type="http://schemas.openxmlformats.org/officeDocument/2006/relationships/hyperlink" Target="mailto:dmarin@pjud.cl" TargetMode="External"/><Relationship Id="rId142" Type="http://schemas.openxmlformats.org/officeDocument/2006/relationships/hyperlink" Target="mailto:kperines@pjud.cl" TargetMode="External"/><Relationship Id="rId163" Type="http://schemas.openxmlformats.org/officeDocument/2006/relationships/hyperlink" Target="mailto:vneirad@pjud.cl" TargetMode="External"/><Relationship Id="rId3" Type="http://schemas.openxmlformats.org/officeDocument/2006/relationships/hyperlink" Target="mailto:pfloresp@pjud.cl" TargetMode="External"/><Relationship Id="rId25" Type="http://schemas.openxmlformats.org/officeDocument/2006/relationships/hyperlink" Target="mailto:ssolis@pjud.cl" TargetMode="External"/><Relationship Id="rId46" Type="http://schemas.openxmlformats.org/officeDocument/2006/relationships/hyperlink" Target="mailto:mpizarrov@pjud.cl" TargetMode="External"/><Relationship Id="rId67" Type="http://schemas.openxmlformats.org/officeDocument/2006/relationships/hyperlink" Target="mailto:acarvajall@pjud.cl" TargetMode="External"/><Relationship Id="rId116" Type="http://schemas.openxmlformats.org/officeDocument/2006/relationships/hyperlink" Target="mailto:aarqueros@pjud.cl" TargetMode="External"/><Relationship Id="rId137" Type="http://schemas.openxmlformats.org/officeDocument/2006/relationships/hyperlink" Target="mailto:ccalderong@pjud.cl" TargetMode="External"/><Relationship Id="rId158" Type="http://schemas.openxmlformats.org/officeDocument/2006/relationships/hyperlink" Target="mailto:xmonardez@pjud.cl" TargetMode="External"/><Relationship Id="rId20" Type="http://schemas.openxmlformats.org/officeDocument/2006/relationships/hyperlink" Target="mailto:mpenaylillo@pjud.cl" TargetMode="External"/><Relationship Id="rId41" Type="http://schemas.openxmlformats.org/officeDocument/2006/relationships/hyperlink" Target="mailto:ncacerest@pjud.cl" TargetMode="External"/><Relationship Id="rId62" Type="http://schemas.openxmlformats.org/officeDocument/2006/relationships/hyperlink" Target="mailto:abriceno@pjud.cl" TargetMode="External"/><Relationship Id="rId83" Type="http://schemas.openxmlformats.org/officeDocument/2006/relationships/hyperlink" Target="mailto:dvurrutia@pjud.cl" TargetMode="External"/><Relationship Id="rId88" Type="http://schemas.openxmlformats.org/officeDocument/2006/relationships/hyperlink" Target="mailto:malfaror@pjud.cl" TargetMode="External"/><Relationship Id="rId111" Type="http://schemas.openxmlformats.org/officeDocument/2006/relationships/hyperlink" Target="mailto:fherrerau@pjud.cl" TargetMode="External"/><Relationship Id="rId132" Type="http://schemas.openxmlformats.org/officeDocument/2006/relationships/hyperlink" Target="mailto:dvurrutia@pjud.cl" TargetMode="External"/><Relationship Id="rId153" Type="http://schemas.openxmlformats.org/officeDocument/2006/relationships/hyperlink" Target="mailto:mcortesm@pjud.cl" TargetMode="External"/><Relationship Id="rId174" Type="http://schemas.openxmlformats.org/officeDocument/2006/relationships/hyperlink" Target="mailto:mncontrerasa@poderjudicial.cl" TargetMode="External"/><Relationship Id="rId15" Type="http://schemas.openxmlformats.org/officeDocument/2006/relationships/hyperlink" Target="mailto:paravena@pjud.cl" TargetMode="External"/><Relationship Id="rId36" Type="http://schemas.openxmlformats.org/officeDocument/2006/relationships/hyperlink" Target="mailto:ccastilloa@pjud.cl" TargetMode="External"/><Relationship Id="rId57" Type="http://schemas.openxmlformats.org/officeDocument/2006/relationships/hyperlink" Target="mailto:cmarinl@pjud.cl" TargetMode="External"/><Relationship Id="rId106" Type="http://schemas.openxmlformats.org/officeDocument/2006/relationships/hyperlink" Target="mailto:furzuat@pjud.cl" TargetMode="External"/><Relationship Id="rId127" Type="http://schemas.openxmlformats.org/officeDocument/2006/relationships/hyperlink" Target="mailto:sarayaa@pjud.cl" TargetMode="External"/><Relationship Id="rId10" Type="http://schemas.openxmlformats.org/officeDocument/2006/relationships/hyperlink" Target="mailto:polguinc@pjud.cl" TargetMode="External"/><Relationship Id="rId31" Type="http://schemas.openxmlformats.org/officeDocument/2006/relationships/hyperlink" Target="mailto:edorado@pjud.cl" TargetMode="External"/><Relationship Id="rId52" Type="http://schemas.openxmlformats.org/officeDocument/2006/relationships/hyperlink" Target="mailto:hescuti@pjud.cl" TargetMode="External"/><Relationship Id="rId73" Type="http://schemas.openxmlformats.org/officeDocument/2006/relationships/hyperlink" Target="mailto:aguzmana@pjud.cl" TargetMode="External"/><Relationship Id="rId78" Type="http://schemas.openxmlformats.org/officeDocument/2006/relationships/hyperlink" Target="mailto:dzepedap@pjud.cl" TargetMode="External"/><Relationship Id="rId94" Type="http://schemas.openxmlformats.org/officeDocument/2006/relationships/hyperlink" Target="mailto:pbustosc@pjud.cl" TargetMode="External"/><Relationship Id="rId99" Type="http://schemas.openxmlformats.org/officeDocument/2006/relationships/hyperlink" Target="mailto:mmaldonadol@pjud.cl" TargetMode="External"/><Relationship Id="rId101" Type="http://schemas.openxmlformats.org/officeDocument/2006/relationships/hyperlink" Target="mailto:bbravo@pjud.cl" TargetMode="External"/><Relationship Id="rId122" Type="http://schemas.openxmlformats.org/officeDocument/2006/relationships/hyperlink" Target="mailto:casierra@pjud.cl" TargetMode="External"/><Relationship Id="rId143" Type="http://schemas.openxmlformats.org/officeDocument/2006/relationships/hyperlink" Target="mailto:mtsegovia@pjud.cl" TargetMode="External"/><Relationship Id="rId148" Type="http://schemas.openxmlformats.org/officeDocument/2006/relationships/hyperlink" Target="mailto:plcastilloa@pjud.cl" TargetMode="External"/><Relationship Id="rId164" Type="http://schemas.openxmlformats.org/officeDocument/2006/relationships/hyperlink" Target="mailto:lvflores@pjud.cl" TargetMode="External"/><Relationship Id="rId169" Type="http://schemas.openxmlformats.org/officeDocument/2006/relationships/hyperlink" Target="mailto:ruribes@poderjudicial.cl" TargetMode="External"/><Relationship Id="rId4" Type="http://schemas.openxmlformats.org/officeDocument/2006/relationships/hyperlink" Target="mailto:casalinas@pjud.cl" TargetMode="External"/><Relationship Id="rId9" Type="http://schemas.openxmlformats.org/officeDocument/2006/relationships/hyperlink" Target="mailto:margalleguillos@pjud.cl" TargetMode="External"/><Relationship Id="rId26" Type="http://schemas.openxmlformats.org/officeDocument/2006/relationships/hyperlink" Target="mailto:jsymmes@pjud.cl" TargetMode="External"/><Relationship Id="rId47" Type="http://schemas.openxmlformats.org/officeDocument/2006/relationships/hyperlink" Target="mailto:rpgonzalezg@pjud.cl" TargetMode="External"/><Relationship Id="rId68" Type="http://schemas.openxmlformats.org/officeDocument/2006/relationships/hyperlink" Target="mailto:averdugoc@pjud.cl" TargetMode="External"/><Relationship Id="rId89" Type="http://schemas.openxmlformats.org/officeDocument/2006/relationships/hyperlink" Target="mailto:catoro@pjud.cl" TargetMode="External"/><Relationship Id="rId112" Type="http://schemas.openxmlformats.org/officeDocument/2006/relationships/hyperlink" Target="mailto:cquevedo@pjud.cl" TargetMode="External"/><Relationship Id="rId133" Type="http://schemas.openxmlformats.org/officeDocument/2006/relationships/hyperlink" Target="mailto:vvillanueva@pjud.cl" TargetMode="External"/><Relationship Id="rId154" Type="http://schemas.openxmlformats.org/officeDocument/2006/relationships/hyperlink" Target="mailto:fmunozb@pjud.cl" TargetMode="External"/><Relationship Id="rId175" Type="http://schemas.openxmlformats.org/officeDocument/2006/relationships/hyperlink" Target="mailto:ifescobar@pjud.cl" TargetMode="External"/><Relationship Id="rId16" Type="http://schemas.openxmlformats.org/officeDocument/2006/relationships/hyperlink" Target="mailto:dlatorre@pjud.cl" TargetMode="External"/><Relationship Id="rId37" Type="http://schemas.openxmlformats.org/officeDocument/2006/relationships/hyperlink" Target="mailto:racevedo@pjud.cl" TargetMode="External"/><Relationship Id="rId58" Type="http://schemas.openxmlformats.org/officeDocument/2006/relationships/hyperlink" Target="mailto:flarosa@pjud.cl" TargetMode="External"/><Relationship Id="rId79" Type="http://schemas.openxmlformats.org/officeDocument/2006/relationships/hyperlink" Target="mailto:ajbugueno@pjud.cl" TargetMode="External"/><Relationship Id="rId102" Type="http://schemas.openxmlformats.org/officeDocument/2006/relationships/hyperlink" Target="mailto:ggrojas@pjud.cl" TargetMode="External"/><Relationship Id="rId123" Type="http://schemas.openxmlformats.org/officeDocument/2006/relationships/hyperlink" Target="mailto:mhartmann@pjud.cl" TargetMode="External"/><Relationship Id="rId144" Type="http://schemas.openxmlformats.org/officeDocument/2006/relationships/hyperlink" Target="mailto:bulloaa@pjud.cl" TargetMode="External"/><Relationship Id="rId90" Type="http://schemas.openxmlformats.org/officeDocument/2006/relationships/hyperlink" Target="mailto:cespinozam@pjud.cl" TargetMode="External"/><Relationship Id="rId165" Type="http://schemas.openxmlformats.org/officeDocument/2006/relationships/hyperlink" Target="mailto:pfhernandeza@pjud.cl" TargetMode="External"/><Relationship Id="rId27" Type="http://schemas.openxmlformats.org/officeDocument/2006/relationships/hyperlink" Target="mailto:mparrag@pjud.cl" TargetMode="External"/><Relationship Id="rId48" Type="http://schemas.openxmlformats.org/officeDocument/2006/relationships/hyperlink" Target="mailto:efmeneses@pjud.cl" TargetMode="External"/><Relationship Id="rId69" Type="http://schemas.openxmlformats.org/officeDocument/2006/relationships/hyperlink" Target="mailto:mbricenoc@pjud.cl" TargetMode="External"/><Relationship Id="rId113" Type="http://schemas.openxmlformats.org/officeDocument/2006/relationships/hyperlink" Target="mailto:fiarias@pjud.cl" TargetMode="External"/><Relationship Id="rId134" Type="http://schemas.openxmlformats.org/officeDocument/2006/relationships/hyperlink" Target="mailto:raraya@poderjudicial.cl" TargetMode="External"/><Relationship Id="rId80" Type="http://schemas.openxmlformats.org/officeDocument/2006/relationships/hyperlink" Target="mailto:cdcorteso@pjud.cl" TargetMode="External"/><Relationship Id="rId155" Type="http://schemas.openxmlformats.org/officeDocument/2006/relationships/hyperlink" Target="mailto:ypavez@pjud.cl" TargetMode="External"/><Relationship Id="rId176" Type="http://schemas.openxmlformats.org/officeDocument/2006/relationships/hyperlink" Target="mailto:reojeda@pjud.cl" TargetMode="External"/><Relationship Id="rId17" Type="http://schemas.openxmlformats.org/officeDocument/2006/relationships/hyperlink" Target="mailto:parayac@pjud.cl" TargetMode="External"/><Relationship Id="rId38" Type="http://schemas.openxmlformats.org/officeDocument/2006/relationships/hyperlink" Target="mailto:vjorquera@pjud.cl" TargetMode="External"/><Relationship Id="rId59" Type="http://schemas.openxmlformats.org/officeDocument/2006/relationships/hyperlink" Target="mailto:oamunoz@pjud.cl" TargetMode="External"/><Relationship Id="rId103" Type="http://schemas.openxmlformats.org/officeDocument/2006/relationships/hyperlink" Target="mailto:jestefania@pjud.cl" TargetMode="External"/><Relationship Id="rId124" Type="http://schemas.openxmlformats.org/officeDocument/2006/relationships/hyperlink" Target="mailto:shidalgor@pjud.cl" TargetMode="External"/><Relationship Id="rId70" Type="http://schemas.openxmlformats.org/officeDocument/2006/relationships/hyperlink" Target="mailto:jacarrascop@pjud.cl" TargetMode="External"/><Relationship Id="rId91" Type="http://schemas.openxmlformats.org/officeDocument/2006/relationships/hyperlink" Target="mailto:depizarro@pjud.cl" TargetMode="External"/><Relationship Id="rId145" Type="http://schemas.openxmlformats.org/officeDocument/2006/relationships/hyperlink" Target="mailto:pvmunozc@pjud.cl" TargetMode="External"/><Relationship Id="rId166" Type="http://schemas.openxmlformats.org/officeDocument/2006/relationships/hyperlink" Target="mailto:jcox@pjud.cl" TargetMode="External"/><Relationship Id="rId1" Type="http://schemas.openxmlformats.org/officeDocument/2006/relationships/hyperlink" Target="mailto:mgajardo@pjud.cl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jlcoquimbo2@pjud.cl" TargetMode="External"/><Relationship Id="rId13" Type="http://schemas.openxmlformats.org/officeDocument/2006/relationships/hyperlink" Target="mailto:jgillapel@pjud.cl" TargetMode="External"/><Relationship Id="rId18" Type="http://schemas.openxmlformats.org/officeDocument/2006/relationships/hyperlink" Target="mailto:jlovalle2@pjud.cl" TargetMode="External"/><Relationship Id="rId26" Type="http://schemas.openxmlformats.org/officeDocument/2006/relationships/table" Target="../tables/table2.xml"/><Relationship Id="rId3" Type="http://schemas.openxmlformats.org/officeDocument/2006/relationships/hyperlink" Target="mailto:jl_vicuna@pjud.cl" TargetMode="External"/><Relationship Id="rId21" Type="http://schemas.openxmlformats.org/officeDocument/2006/relationships/hyperlink" Target="mailto:jlablaserena@pjud.cl" TargetMode="External"/><Relationship Id="rId7" Type="http://schemas.openxmlformats.org/officeDocument/2006/relationships/hyperlink" Target="mailto:toplaserena@pjud.cl" TargetMode="External"/><Relationship Id="rId12" Type="http://schemas.openxmlformats.org/officeDocument/2006/relationships/hyperlink" Target="mailto:jglaserena@pjud.cl" TargetMode="External"/><Relationship Id="rId17" Type="http://schemas.openxmlformats.org/officeDocument/2006/relationships/hyperlink" Target="mailto:jlcoquimbo3@pjud.cl" TargetMode="External"/><Relationship Id="rId25" Type="http://schemas.openxmlformats.org/officeDocument/2006/relationships/hyperlink" Target="mailto:jgvicuna@pjud.cl" TargetMode="External"/><Relationship Id="rId2" Type="http://schemas.openxmlformats.org/officeDocument/2006/relationships/hyperlink" Target="mailto:jlovalle1@pjud.cl" TargetMode="External"/><Relationship Id="rId16" Type="http://schemas.openxmlformats.org/officeDocument/2006/relationships/hyperlink" Target="mailto:jlcoquimbo1@pjud.cl" TargetMode="External"/><Relationship Id="rId20" Type="http://schemas.openxmlformats.org/officeDocument/2006/relationships/hyperlink" Target="mailto:jfcoquimbo@pjud.cl" TargetMode="External"/><Relationship Id="rId1" Type="http://schemas.openxmlformats.org/officeDocument/2006/relationships/hyperlink" Target="mailto:jllaserena3@pjud.cl" TargetMode="External"/><Relationship Id="rId6" Type="http://schemas.openxmlformats.org/officeDocument/2006/relationships/hyperlink" Target="mailto:jflaserena@pjud.cl" TargetMode="External"/><Relationship Id="rId11" Type="http://schemas.openxmlformats.org/officeDocument/2006/relationships/hyperlink" Target="mailto:jlyg_losvilos@pjud.cl" TargetMode="External"/><Relationship Id="rId24" Type="http://schemas.openxmlformats.org/officeDocument/2006/relationships/hyperlink" Target="mailto:jllaserena1@pjud.cl" TargetMode="External"/><Relationship Id="rId5" Type="http://schemas.openxmlformats.org/officeDocument/2006/relationships/hyperlink" Target="mailto:jgovalle@pjud.cl" TargetMode="External"/><Relationship Id="rId15" Type="http://schemas.openxmlformats.org/officeDocument/2006/relationships/hyperlink" Target="mailto:jfovalle@pjud.cl" TargetMode="External"/><Relationship Id="rId23" Type="http://schemas.openxmlformats.org/officeDocument/2006/relationships/hyperlink" Target="mailto:topovalle@pjud.cl" TargetMode="External"/><Relationship Id="rId10" Type="http://schemas.openxmlformats.org/officeDocument/2006/relationships/hyperlink" Target="mailto:jlyg_andacollo@pjud.cl" TargetMode="External"/><Relationship Id="rId19" Type="http://schemas.openxmlformats.org/officeDocument/2006/relationships/hyperlink" Target="mailto:jlyg_combarbala@pjud.cl" TargetMode="External"/><Relationship Id="rId4" Type="http://schemas.openxmlformats.org/officeDocument/2006/relationships/hyperlink" Target="mailto:jgcoquimbo@pjud.cl" TargetMode="External"/><Relationship Id="rId9" Type="http://schemas.openxmlformats.org/officeDocument/2006/relationships/hyperlink" Target="mailto:jlillapel@pjud.cl" TargetMode="External"/><Relationship Id="rId14" Type="http://schemas.openxmlformats.org/officeDocument/2006/relationships/hyperlink" Target="mailto:jlovalle3@pjud.cl" TargetMode="External"/><Relationship Id="rId22" Type="http://schemas.openxmlformats.org/officeDocument/2006/relationships/hyperlink" Target="mailto:jllaserena2@pjud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63862-0E5F-4D07-B636-A5FDD6F8C050}">
  <dimension ref="A1:Z1000"/>
  <sheetViews>
    <sheetView topLeftCell="A50" zoomScale="82" workbookViewId="0">
      <selection activeCell="B87" sqref="B87"/>
    </sheetView>
  </sheetViews>
  <sheetFormatPr baseColWidth="10" defaultRowHeight="14.6" x14ac:dyDescent="0.4"/>
  <cols>
    <col min="2" max="2" width="45.69140625" customWidth="1"/>
    <col min="3" max="3" width="56.23046875" customWidth="1"/>
    <col min="4" max="4" width="39.61328125" customWidth="1"/>
    <col min="5" max="5" width="40.69140625" customWidth="1"/>
    <col min="6" max="6" width="32.4609375" customWidth="1"/>
  </cols>
  <sheetData>
    <row r="1" spans="1:26" x14ac:dyDescent="0.4">
      <c r="A1" s="1"/>
      <c r="B1" s="2"/>
      <c r="C1" s="2"/>
      <c r="D1" s="2"/>
      <c r="E1" s="2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1.75" x14ac:dyDescent="0.4">
      <c r="A2" s="1"/>
      <c r="B2" s="3" t="s">
        <v>0</v>
      </c>
      <c r="C2" s="3" t="s">
        <v>1</v>
      </c>
      <c r="D2" s="4" t="s">
        <v>2</v>
      </c>
      <c r="E2" s="3" t="s">
        <v>3</v>
      </c>
      <c r="F2" s="3" t="s">
        <v>4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11" x14ac:dyDescent="0.4">
      <c r="A3" s="2"/>
      <c r="B3" s="5" t="s">
        <v>5</v>
      </c>
      <c r="C3" s="6" t="s">
        <v>6</v>
      </c>
      <c r="D3" s="7" t="s">
        <v>7</v>
      </c>
      <c r="E3" s="8" t="s">
        <v>8</v>
      </c>
      <c r="F3" s="9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5.15" x14ac:dyDescent="0.4">
      <c r="A4" s="2"/>
      <c r="B4" s="5" t="s">
        <v>9</v>
      </c>
      <c r="C4" s="6" t="s">
        <v>10</v>
      </c>
      <c r="D4" s="10" t="s">
        <v>11</v>
      </c>
      <c r="E4" s="8">
        <v>200</v>
      </c>
      <c r="F4" s="11" t="s">
        <v>12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9" x14ac:dyDescent="0.4">
      <c r="A5" s="2"/>
      <c r="B5" s="5" t="s">
        <v>13</v>
      </c>
      <c r="C5" s="6" t="s">
        <v>14</v>
      </c>
      <c r="D5" s="10" t="s">
        <v>15</v>
      </c>
      <c r="E5" s="8">
        <v>201</v>
      </c>
      <c r="F5" s="11" t="s">
        <v>16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63.45" customHeight="1" x14ac:dyDescent="0.4">
      <c r="A6" s="2"/>
      <c r="B6" s="8" t="s">
        <v>17</v>
      </c>
      <c r="C6" s="6" t="s">
        <v>14</v>
      </c>
      <c r="D6" s="10" t="s">
        <v>15</v>
      </c>
      <c r="E6" s="8">
        <v>252</v>
      </c>
      <c r="F6" s="11" t="s">
        <v>16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79.3" customHeight="1" x14ac:dyDescent="0.4">
      <c r="A7" s="2"/>
      <c r="B7" s="8" t="s">
        <v>17</v>
      </c>
      <c r="C7" s="6" t="s">
        <v>18</v>
      </c>
      <c r="D7" s="10" t="s">
        <v>19</v>
      </c>
      <c r="E7" s="8">
        <v>205</v>
      </c>
      <c r="F7" s="11" t="s">
        <v>20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63.45" customHeight="1" x14ac:dyDescent="0.4">
      <c r="A8" s="2"/>
      <c r="B8" s="8" t="s">
        <v>17</v>
      </c>
      <c r="C8" s="12" t="s">
        <v>21</v>
      </c>
      <c r="D8" s="10" t="s">
        <v>22</v>
      </c>
      <c r="E8" s="8">
        <v>215</v>
      </c>
      <c r="F8" s="11" t="s">
        <v>23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5.15" customHeight="1" x14ac:dyDescent="0.4">
      <c r="A9" s="2"/>
      <c r="B9" s="8" t="s">
        <v>17</v>
      </c>
      <c r="C9" s="6" t="s">
        <v>24</v>
      </c>
      <c r="D9" s="10" t="s">
        <v>25</v>
      </c>
      <c r="E9" s="8">
        <v>224</v>
      </c>
      <c r="F9" s="11" t="s">
        <v>26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79.3" customHeight="1" x14ac:dyDescent="0.4">
      <c r="A10" s="2"/>
      <c r="B10" s="8" t="s">
        <v>17</v>
      </c>
      <c r="C10" s="6" t="s">
        <v>27</v>
      </c>
      <c r="D10" s="10" t="s">
        <v>28</v>
      </c>
      <c r="E10" s="8">
        <v>225</v>
      </c>
      <c r="F10" s="11" t="s">
        <v>29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72.900000000000006" customHeight="1" x14ac:dyDescent="0.4">
      <c r="A11" s="2"/>
      <c r="B11" s="8" t="s">
        <v>17</v>
      </c>
      <c r="C11" s="6" t="s">
        <v>30</v>
      </c>
      <c r="D11" s="10" t="s">
        <v>31</v>
      </c>
      <c r="E11" s="8">
        <v>204</v>
      </c>
      <c r="F11" s="11" t="s">
        <v>32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95.15" customHeight="1" x14ac:dyDescent="0.4">
      <c r="A12" s="2"/>
      <c r="B12" s="8" t="s">
        <v>17</v>
      </c>
      <c r="C12" s="6" t="s">
        <v>33</v>
      </c>
      <c r="D12" s="7" t="s">
        <v>34</v>
      </c>
      <c r="E12" s="8">
        <v>364</v>
      </c>
      <c r="F12" s="11" t="s">
        <v>35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79.3" customHeight="1" x14ac:dyDescent="0.4">
      <c r="A13" s="2"/>
      <c r="B13" s="8" t="s">
        <v>17</v>
      </c>
      <c r="C13" s="6" t="s">
        <v>36</v>
      </c>
      <c r="D13" s="10" t="s">
        <v>37</v>
      </c>
      <c r="E13" s="8">
        <v>222</v>
      </c>
      <c r="F13" s="9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6.9" customHeight="1" x14ac:dyDescent="0.4">
      <c r="A14" s="2"/>
      <c r="B14" s="8" t="s">
        <v>17</v>
      </c>
      <c r="C14" s="6" t="s">
        <v>38</v>
      </c>
      <c r="D14" s="13"/>
      <c r="E14" s="8">
        <v>213</v>
      </c>
      <c r="F14" s="14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8.45" x14ac:dyDescent="0.4">
      <c r="A15" s="2"/>
      <c r="B15" s="5" t="s">
        <v>39</v>
      </c>
      <c r="C15" s="6" t="s">
        <v>40</v>
      </c>
      <c r="D15" s="7" t="s">
        <v>41</v>
      </c>
      <c r="E15" s="8">
        <v>218</v>
      </c>
      <c r="F15" s="11" t="s">
        <v>42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8.45" x14ac:dyDescent="0.4">
      <c r="A16" s="2"/>
      <c r="B16" s="5" t="s">
        <v>43</v>
      </c>
      <c r="C16" s="6" t="s">
        <v>44</v>
      </c>
      <c r="D16" s="7" t="s">
        <v>45</v>
      </c>
      <c r="E16" s="8">
        <v>207</v>
      </c>
      <c r="F16" s="11" t="s">
        <v>46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43.75" customHeight="1" x14ac:dyDescent="0.4">
      <c r="A17" s="2"/>
      <c r="B17" s="8" t="s">
        <v>47</v>
      </c>
      <c r="C17" s="6" t="s">
        <v>48</v>
      </c>
      <c r="D17" s="10" t="s">
        <v>49</v>
      </c>
      <c r="E17" s="13"/>
      <c r="F17" s="9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63.45" customHeight="1" x14ac:dyDescent="0.4">
      <c r="A18" s="2"/>
      <c r="B18" s="8" t="s">
        <v>47</v>
      </c>
      <c r="C18" s="6" t="s">
        <v>50</v>
      </c>
      <c r="D18" s="7" t="s">
        <v>51</v>
      </c>
      <c r="E18" s="8">
        <v>220</v>
      </c>
      <c r="F18" s="11" t="s">
        <v>52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11" customHeight="1" x14ac:dyDescent="0.4">
      <c r="A19" s="2"/>
      <c r="B19" s="8" t="s">
        <v>47</v>
      </c>
      <c r="C19" s="6" t="s">
        <v>53</v>
      </c>
      <c r="D19" s="10" t="s">
        <v>54</v>
      </c>
      <c r="E19" s="8">
        <v>306</v>
      </c>
      <c r="F19" s="11" t="s">
        <v>55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2.75" customHeight="1" x14ac:dyDescent="0.4">
      <c r="A20" s="2"/>
      <c r="B20" s="8" t="s">
        <v>47</v>
      </c>
      <c r="C20" s="6" t="s">
        <v>56</v>
      </c>
      <c r="D20" s="15" t="s">
        <v>57</v>
      </c>
      <c r="E20" s="8">
        <v>240</v>
      </c>
      <c r="F20" s="11" t="s">
        <v>26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9" x14ac:dyDescent="0.4">
      <c r="A21" s="2"/>
      <c r="B21" s="8" t="s">
        <v>58</v>
      </c>
      <c r="C21" s="6" t="s">
        <v>48</v>
      </c>
      <c r="D21" s="10" t="s">
        <v>59</v>
      </c>
      <c r="E21" s="13"/>
      <c r="F21" s="9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7.44999999999999" customHeight="1" x14ac:dyDescent="0.4">
      <c r="A22" s="2"/>
      <c r="B22" s="8" t="s">
        <v>58</v>
      </c>
      <c r="C22" s="6" t="s">
        <v>60</v>
      </c>
      <c r="D22" s="16" t="s">
        <v>61</v>
      </c>
      <c r="E22" s="8">
        <v>301</v>
      </c>
      <c r="F22" s="9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63.45" customHeight="1" x14ac:dyDescent="0.4">
      <c r="A23" s="2"/>
      <c r="B23" s="8" t="s">
        <v>58</v>
      </c>
      <c r="C23" s="6" t="s">
        <v>62</v>
      </c>
      <c r="D23" s="10" t="s">
        <v>63</v>
      </c>
      <c r="E23" s="8">
        <v>272</v>
      </c>
      <c r="F23" s="11" t="s">
        <v>64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95.15" customHeight="1" x14ac:dyDescent="0.4">
      <c r="A24" s="2"/>
      <c r="B24" s="8" t="s">
        <v>58</v>
      </c>
      <c r="C24" s="6" t="s">
        <v>65</v>
      </c>
      <c r="D24" s="10" t="s">
        <v>66</v>
      </c>
      <c r="E24" s="8">
        <v>305</v>
      </c>
      <c r="F24" s="11" t="s">
        <v>67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36.9" x14ac:dyDescent="0.4">
      <c r="A25" s="2"/>
      <c r="B25" s="8" t="s">
        <v>68</v>
      </c>
      <c r="C25" s="6" t="s">
        <v>69</v>
      </c>
      <c r="D25" s="7" t="s">
        <v>70</v>
      </c>
      <c r="E25" s="8">
        <v>209</v>
      </c>
      <c r="F25" s="14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63.45" customHeight="1" x14ac:dyDescent="0.4">
      <c r="A26" s="2"/>
      <c r="B26" s="8" t="s">
        <v>68</v>
      </c>
      <c r="C26" s="6" t="s">
        <v>71</v>
      </c>
      <c r="D26" s="13"/>
      <c r="E26" s="8">
        <v>210</v>
      </c>
      <c r="F26" s="14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6.9" customHeight="1" x14ac:dyDescent="0.4">
      <c r="A27" s="2"/>
      <c r="B27" s="8" t="s">
        <v>68</v>
      </c>
      <c r="C27" s="6" t="s">
        <v>72</v>
      </c>
      <c r="D27" s="7" t="s">
        <v>73</v>
      </c>
      <c r="E27" s="8">
        <v>210</v>
      </c>
      <c r="F27" s="11" t="s">
        <v>74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92.15" customHeight="1" x14ac:dyDescent="0.4">
      <c r="A28" s="2"/>
      <c r="B28" s="8" t="s">
        <v>68</v>
      </c>
      <c r="C28" s="6" t="s">
        <v>75</v>
      </c>
      <c r="D28" s="7" t="s">
        <v>76</v>
      </c>
      <c r="E28" s="8">
        <v>212</v>
      </c>
      <c r="F28" s="14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63.45" customHeight="1" x14ac:dyDescent="0.4">
      <c r="A29" s="2"/>
      <c r="B29" s="8" t="s">
        <v>68</v>
      </c>
      <c r="C29" s="6" t="s">
        <v>77</v>
      </c>
      <c r="D29" s="13"/>
      <c r="E29" s="8">
        <v>211</v>
      </c>
      <c r="F29" s="14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6.9" customHeight="1" x14ac:dyDescent="0.4">
      <c r="A30" s="2"/>
      <c r="B30" s="8" t="s">
        <v>68</v>
      </c>
      <c r="C30" s="6" t="s">
        <v>78</v>
      </c>
      <c r="D30" s="10" t="s">
        <v>79</v>
      </c>
      <c r="E30" s="8">
        <v>212</v>
      </c>
      <c r="F30" s="11" t="s">
        <v>80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92.15" customHeight="1" x14ac:dyDescent="0.4">
      <c r="A31" s="2"/>
      <c r="B31" s="8" t="s">
        <v>68</v>
      </c>
      <c r="C31" s="6" t="s">
        <v>81</v>
      </c>
      <c r="D31" s="7" t="s">
        <v>82</v>
      </c>
      <c r="E31" s="8">
        <v>227</v>
      </c>
      <c r="F31" s="14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11" customHeight="1" x14ac:dyDescent="0.4">
      <c r="A32" s="2"/>
      <c r="B32" s="8" t="s">
        <v>68</v>
      </c>
      <c r="C32" s="6" t="s">
        <v>83</v>
      </c>
      <c r="D32" s="10" t="s">
        <v>84</v>
      </c>
      <c r="E32" s="8">
        <v>227</v>
      </c>
      <c r="F32" s="11" t="s">
        <v>85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9" x14ac:dyDescent="0.4">
      <c r="A33" s="2"/>
      <c r="B33" s="5" t="s">
        <v>86</v>
      </c>
      <c r="C33" s="6" t="s">
        <v>87</v>
      </c>
      <c r="D33" s="13"/>
      <c r="E33" s="8">
        <v>324</v>
      </c>
      <c r="F33" s="14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79.3" customHeight="1" x14ac:dyDescent="0.4">
      <c r="A34" s="2"/>
      <c r="B34" s="8" t="s">
        <v>88</v>
      </c>
      <c r="C34" s="6" t="s">
        <v>89</v>
      </c>
      <c r="D34" s="10" t="s">
        <v>90</v>
      </c>
      <c r="E34" s="8">
        <v>363</v>
      </c>
      <c r="F34" s="11" t="s">
        <v>91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79.3" customHeight="1" x14ac:dyDescent="0.4">
      <c r="A35" s="2"/>
      <c r="B35" s="8" t="s">
        <v>88</v>
      </c>
      <c r="C35" s="6" t="s">
        <v>92</v>
      </c>
      <c r="D35" s="7" t="s">
        <v>93</v>
      </c>
      <c r="E35" s="8">
        <v>249</v>
      </c>
      <c r="F35" s="11" t="s">
        <v>94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63.45" customHeight="1" x14ac:dyDescent="0.4">
      <c r="A36" s="2"/>
      <c r="B36" s="8" t="s">
        <v>88</v>
      </c>
      <c r="C36" s="6" t="s">
        <v>95</v>
      </c>
      <c r="D36" s="7" t="s">
        <v>96</v>
      </c>
      <c r="E36" s="8">
        <v>202</v>
      </c>
      <c r="F36" s="11" t="s">
        <v>97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63.45" customHeight="1" x14ac:dyDescent="0.4">
      <c r="A37" s="2"/>
      <c r="B37" s="8" t="s">
        <v>88</v>
      </c>
      <c r="C37" s="6" t="s">
        <v>98</v>
      </c>
      <c r="D37" s="7" t="s">
        <v>99</v>
      </c>
      <c r="E37" s="8">
        <v>203</v>
      </c>
      <c r="F37" s="11" t="s">
        <v>100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63.45" customHeight="1" x14ac:dyDescent="0.4">
      <c r="A38" s="2"/>
      <c r="B38" s="8" t="s">
        <v>88</v>
      </c>
      <c r="C38" s="6" t="s">
        <v>101</v>
      </c>
      <c r="D38" s="10" t="s">
        <v>102</v>
      </c>
      <c r="E38" s="8">
        <v>226</v>
      </c>
      <c r="F38" s="11" t="s">
        <v>103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9" x14ac:dyDescent="0.4">
      <c r="A39" s="2"/>
      <c r="B39" s="8" t="s">
        <v>88</v>
      </c>
      <c r="C39" s="6" t="s">
        <v>104</v>
      </c>
      <c r="D39" s="13"/>
      <c r="E39" s="17">
        <v>217</v>
      </c>
      <c r="F39" s="9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79.3" customHeight="1" x14ac:dyDescent="0.4">
      <c r="A40" s="2"/>
      <c r="B40" s="8" t="s">
        <v>88</v>
      </c>
      <c r="C40" s="6" t="s">
        <v>105</v>
      </c>
      <c r="D40" s="10" t="s">
        <v>106</v>
      </c>
      <c r="E40" s="8">
        <v>249</v>
      </c>
      <c r="F40" s="11" t="s">
        <v>107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9" x14ac:dyDescent="0.4">
      <c r="A41" s="2"/>
      <c r="B41" s="8" t="s">
        <v>108</v>
      </c>
      <c r="C41" s="6" t="s">
        <v>109</v>
      </c>
      <c r="D41" s="10" t="s">
        <v>110</v>
      </c>
      <c r="E41" s="13"/>
      <c r="F41" s="9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95.15" customHeight="1" x14ac:dyDescent="0.4">
      <c r="A42" s="2"/>
      <c r="B42" s="8" t="s">
        <v>108</v>
      </c>
      <c r="C42" s="6" t="s">
        <v>111</v>
      </c>
      <c r="D42" s="10" t="s">
        <v>112</v>
      </c>
      <c r="E42" s="8">
        <v>219</v>
      </c>
      <c r="F42" s="11" t="s">
        <v>113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63.45" customHeight="1" x14ac:dyDescent="0.4">
      <c r="A43" s="2"/>
      <c r="B43" s="8" t="s">
        <v>108</v>
      </c>
      <c r="C43" s="6" t="s">
        <v>114</v>
      </c>
      <c r="D43" s="7" t="s">
        <v>115</v>
      </c>
      <c r="E43" s="8">
        <v>229</v>
      </c>
      <c r="F43" s="11" t="s">
        <v>116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63.45" customHeight="1" x14ac:dyDescent="0.4">
      <c r="A44" s="2"/>
      <c r="B44" s="8" t="s">
        <v>108</v>
      </c>
      <c r="C44" s="6" t="s">
        <v>117</v>
      </c>
      <c r="D44" s="7" t="s">
        <v>118</v>
      </c>
      <c r="E44" s="8">
        <v>230</v>
      </c>
      <c r="F44" s="11" t="s">
        <v>119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79.3" customHeight="1" x14ac:dyDescent="0.4">
      <c r="A45" s="2"/>
      <c r="B45" s="8" t="s">
        <v>108</v>
      </c>
      <c r="C45" s="6" t="s">
        <v>120</v>
      </c>
      <c r="D45" s="7" t="s">
        <v>121</v>
      </c>
      <c r="E45" s="8">
        <v>231</v>
      </c>
      <c r="F45" s="11" t="s">
        <v>122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63.45" customHeight="1" x14ac:dyDescent="0.4">
      <c r="A46" s="2"/>
      <c r="B46" s="8" t="s">
        <v>108</v>
      </c>
      <c r="C46" s="6" t="s">
        <v>123</v>
      </c>
      <c r="D46" s="7" t="s">
        <v>124</v>
      </c>
      <c r="E46" s="8">
        <v>241</v>
      </c>
      <c r="F46" s="11" t="s">
        <v>125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47.6" customHeight="1" x14ac:dyDescent="0.4">
      <c r="A47" s="2"/>
      <c r="B47" s="8" t="s">
        <v>108</v>
      </c>
      <c r="C47" s="18" t="s">
        <v>126</v>
      </c>
      <c r="D47" s="10" t="s">
        <v>127</v>
      </c>
      <c r="E47" s="8">
        <v>275</v>
      </c>
      <c r="F47" s="11" t="s">
        <v>128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63.45" customHeight="1" x14ac:dyDescent="0.4">
      <c r="A48" s="2"/>
      <c r="B48" s="8" t="s">
        <v>108</v>
      </c>
      <c r="C48" s="18" t="s">
        <v>129</v>
      </c>
      <c r="D48" s="10" t="s">
        <v>84</v>
      </c>
      <c r="E48" s="8">
        <v>227</v>
      </c>
      <c r="F48" s="11" t="s">
        <v>85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95.15" customHeight="1" x14ac:dyDescent="0.4">
      <c r="A49" s="2"/>
      <c r="B49" s="8" t="s">
        <v>108</v>
      </c>
      <c r="C49" s="18" t="s">
        <v>130</v>
      </c>
      <c r="D49" s="10" t="s">
        <v>131</v>
      </c>
      <c r="E49" s="8">
        <v>228</v>
      </c>
      <c r="F49" s="11" t="s">
        <v>132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63.45" customHeight="1" x14ac:dyDescent="0.4">
      <c r="A50" s="2"/>
      <c r="B50" s="8" t="s">
        <v>108</v>
      </c>
      <c r="C50" s="18" t="s">
        <v>133</v>
      </c>
      <c r="D50" s="10" t="s">
        <v>134</v>
      </c>
      <c r="E50" s="8">
        <v>214</v>
      </c>
      <c r="F50" s="11" t="s">
        <v>135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79.3" customHeight="1" x14ac:dyDescent="0.4">
      <c r="A51" s="2"/>
      <c r="B51" s="8" t="s">
        <v>108</v>
      </c>
      <c r="C51" s="6" t="s">
        <v>136</v>
      </c>
      <c r="D51" s="7" t="s">
        <v>137</v>
      </c>
      <c r="E51" s="8">
        <v>275</v>
      </c>
      <c r="F51" s="11" t="s">
        <v>138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79.3" customHeight="1" x14ac:dyDescent="0.4">
      <c r="A52" s="2"/>
      <c r="B52" s="8" t="s">
        <v>108</v>
      </c>
      <c r="C52" s="18" t="s">
        <v>139</v>
      </c>
      <c r="D52" s="10" t="s">
        <v>140</v>
      </c>
      <c r="E52" s="13"/>
      <c r="F52" s="11" t="s">
        <v>141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79.3" customHeight="1" x14ac:dyDescent="0.4">
      <c r="A53" s="2"/>
      <c r="B53" s="8" t="s">
        <v>108</v>
      </c>
      <c r="C53" s="18" t="s">
        <v>142</v>
      </c>
      <c r="D53" s="10" t="s">
        <v>143</v>
      </c>
      <c r="E53" s="13"/>
      <c r="F53" s="11" t="s">
        <v>144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9" x14ac:dyDescent="0.4">
      <c r="A54" s="2"/>
      <c r="B54" s="8" t="s">
        <v>145</v>
      </c>
      <c r="C54" s="6" t="s">
        <v>146</v>
      </c>
      <c r="D54" s="10" t="s">
        <v>147</v>
      </c>
      <c r="E54" s="8">
        <v>265</v>
      </c>
      <c r="F54" s="11" t="s">
        <v>148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79.3" customHeight="1" x14ac:dyDescent="0.4">
      <c r="A55" s="2"/>
      <c r="B55" s="8" t="s">
        <v>145</v>
      </c>
      <c r="C55" s="6" t="s">
        <v>149</v>
      </c>
      <c r="D55" s="10" t="s">
        <v>150</v>
      </c>
      <c r="E55" s="8">
        <v>265</v>
      </c>
      <c r="F55" s="11" t="s">
        <v>12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8.45" x14ac:dyDescent="0.4">
      <c r="A56" s="2"/>
      <c r="B56" s="5" t="s">
        <v>151</v>
      </c>
      <c r="C56" s="6" t="s">
        <v>152</v>
      </c>
      <c r="D56" s="7" t="s">
        <v>153</v>
      </c>
      <c r="E56" s="8">
        <v>340</v>
      </c>
      <c r="F56" s="11" t="s">
        <v>154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79.3" customHeight="1" x14ac:dyDescent="0.4">
      <c r="A57" s="2"/>
      <c r="B57" s="8" t="s">
        <v>155</v>
      </c>
      <c r="C57" s="6" t="s">
        <v>156</v>
      </c>
      <c r="D57" s="7" t="s">
        <v>157</v>
      </c>
      <c r="E57" s="8">
        <v>315</v>
      </c>
      <c r="F57" s="11" t="s">
        <v>158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47.6" customHeight="1" x14ac:dyDescent="0.4">
      <c r="A58" s="2"/>
      <c r="B58" s="8" t="s">
        <v>155</v>
      </c>
      <c r="C58" s="21" t="s">
        <v>159</v>
      </c>
      <c r="D58" s="22" t="s">
        <v>160</v>
      </c>
      <c r="E58" s="8">
        <v>246</v>
      </c>
      <c r="F58" s="23" t="s">
        <v>161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31.75" customHeight="1" x14ac:dyDescent="0.4">
      <c r="A59" s="2"/>
      <c r="B59" s="8" t="s">
        <v>155</v>
      </c>
      <c r="C59" s="21"/>
      <c r="D59" s="22"/>
      <c r="E59" s="8" t="s">
        <v>162</v>
      </c>
      <c r="F59" s="23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63.45" customHeight="1" x14ac:dyDescent="0.4">
      <c r="A60" s="2"/>
      <c r="B60" s="8" t="s">
        <v>155</v>
      </c>
      <c r="C60" s="6" t="s">
        <v>163</v>
      </c>
      <c r="D60" s="10" t="s">
        <v>164</v>
      </c>
      <c r="E60" s="8">
        <v>208</v>
      </c>
      <c r="F60" s="11" t="s">
        <v>165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9" customHeight="1" x14ac:dyDescent="0.4">
      <c r="A61" s="2"/>
      <c r="B61" s="8" t="s">
        <v>166</v>
      </c>
      <c r="C61" s="6" t="s">
        <v>109</v>
      </c>
      <c r="D61" s="10" t="s">
        <v>167</v>
      </c>
      <c r="E61" s="13"/>
      <c r="F61" s="9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79.3" customHeight="1" x14ac:dyDescent="0.4">
      <c r="A62" s="2"/>
      <c r="B62" s="8" t="s">
        <v>166</v>
      </c>
      <c r="C62" s="6" t="s">
        <v>168</v>
      </c>
      <c r="D62" s="7" t="s">
        <v>169</v>
      </c>
      <c r="E62" s="8">
        <v>233</v>
      </c>
      <c r="F62" s="11" t="s">
        <v>170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63.45" customHeight="1" x14ac:dyDescent="0.4">
      <c r="A63" s="2"/>
      <c r="B63" s="8" t="s">
        <v>166</v>
      </c>
      <c r="C63" s="6" t="s">
        <v>171</v>
      </c>
      <c r="D63" s="7" t="s">
        <v>172</v>
      </c>
      <c r="E63" s="8">
        <v>273</v>
      </c>
      <c r="F63" s="11" t="s">
        <v>173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63.45" customHeight="1" x14ac:dyDescent="0.4">
      <c r="A64" s="2"/>
      <c r="B64" s="8" t="s">
        <v>166</v>
      </c>
      <c r="C64" s="6" t="s">
        <v>174</v>
      </c>
      <c r="D64" s="7" t="s">
        <v>175</v>
      </c>
      <c r="E64" s="8">
        <v>239</v>
      </c>
      <c r="F64" s="11" t="s">
        <v>176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63.45" customHeight="1" x14ac:dyDescent="0.4">
      <c r="A65" s="2"/>
      <c r="B65" s="8" t="s">
        <v>166</v>
      </c>
      <c r="C65" s="6" t="s">
        <v>177</v>
      </c>
      <c r="D65" s="7" t="s">
        <v>178</v>
      </c>
      <c r="E65" s="8">
        <v>236</v>
      </c>
      <c r="F65" s="11" t="s">
        <v>179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95.15" customHeight="1" x14ac:dyDescent="0.4">
      <c r="A66" s="2"/>
      <c r="B66" s="8" t="s">
        <v>166</v>
      </c>
      <c r="C66" s="18" t="s">
        <v>180</v>
      </c>
      <c r="D66" s="10" t="s">
        <v>181</v>
      </c>
      <c r="E66" s="8">
        <v>206</v>
      </c>
      <c r="F66" s="11" t="s">
        <v>161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79.3" customHeight="1" x14ac:dyDescent="0.4">
      <c r="A67" s="2"/>
      <c r="B67" s="8" t="s">
        <v>166</v>
      </c>
      <c r="C67" s="6" t="s">
        <v>182</v>
      </c>
      <c r="D67" s="10" t="s">
        <v>183</v>
      </c>
      <c r="E67" s="8">
        <v>311</v>
      </c>
      <c r="F67" s="11" t="s">
        <v>154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8.45" x14ac:dyDescent="0.4">
      <c r="A68" s="2"/>
      <c r="B68" s="5" t="s">
        <v>184</v>
      </c>
      <c r="C68" s="6" t="s">
        <v>185</v>
      </c>
      <c r="D68" s="7" t="s">
        <v>186</v>
      </c>
      <c r="E68" s="8">
        <v>300</v>
      </c>
      <c r="F68" s="11" t="s">
        <v>187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47.6" customHeight="1" x14ac:dyDescent="0.4">
      <c r="A69" s="2"/>
      <c r="B69" s="8" t="s">
        <v>188</v>
      </c>
      <c r="C69" s="6" t="s">
        <v>109</v>
      </c>
      <c r="D69" s="10" t="s">
        <v>189</v>
      </c>
      <c r="E69" s="13"/>
      <c r="F69" s="9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79.3" customHeight="1" x14ac:dyDescent="0.4">
      <c r="A70" s="2"/>
      <c r="B70" s="8" t="s">
        <v>188</v>
      </c>
      <c r="C70" s="6" t="s">
        <v>190</v>
      </c>
      <c r="D70" s="7" t="s">
        <v>191</v>
      </c>
      <c r="E70" s="8">
        <v>244</v>
      </c>
      <c r="F70" s="11" t="s">
        <v>192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79.3" customHeight="1" x14ac:dyDescent="0.4">
      <c r="A71" s="2"/>
      <c r="B71" s="8" t="s">
        <v>188</v>
      </c>
      <c r="C71" s="6" t="s">
        <v>193</v>
      </c>
      <c r="D71" s="7" t="s">
        <v>194</v>
      </c>
      <c r="E71" s="8">
        <v>232</v>
      </c>
      <c r="F71" s="11" t="s">
        <v>195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63.45" customHeight="1" x14ac:dyDescent="0.4">
      <c r="A72" s="2"/>
      <c r="B72" s="8" t="s">
        <v>188</v>
      </c>
      <c r="C72" s="6" t="s">
        <v>196</v>
      </c>
      <c r="D72" s="7" t="s">
        <v>197</v>
      </c>
      <c r="E72" s="8">
        <v>302</v>
      </c>
      <c r="F72" s="11" t="s">
        <v>16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9.15" x14ac:dyDescent="0.4">
      <c r="A73" s="2"/>
      <c r="B73" s="8" t="s">
        <v>198</v>
      </c>
      <c r="C73" s="6" t="s">
        <v>199</v>
      </c>
      <c r="D73" s="10" t="s">
        <v>25</v>
      </c>
      <c r="E73" s="8">
        <v>321</v>
      </c>
      <c r="F73" s="11" t="s">
        <v>26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95.15" customHeight="1" x14ac:dyDescent="0.4">
      <c r="A74" s="2"/>
      <c r="B74" s="8" t="s">
        <v>198</v>
      </c>
      <c r="C74" s="6" t="s">
        <v>200</v>
      </c>
      <c r="D74" s="7" t="s">
        <v>201</v>
      </c>
      <c r="E74" s="8">
        <v>322</v>
      </c>
      <c r="F74" s="11" t="s">
        <v>20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95.15" customHeight="1" x14ac:dyDescent="0.4">
      <c r="A75" s="2"/>
      <c r="B75" s="8" t="s">
        <v>198</v>
      </c>
      <c r="C75" s="6" t="s">
        <v>202</v>
      </c>
      <c r="D75" s="10" t="s">
        <v>203</v>
      </c>
      <c r="E75" s="8">
        <v>326</v>
      </c>
      <c r="F75" s="11" t="s">
        <v>204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9" x14ac:dyDescent="0.4">
      <c r="A76" s="2"/>
      <c r="B76" s="8" t="s">
        <v>198</v>
      </c>
      <c r="C76" s="6" t="s">
        <v>104</v>
      </c>
      <c r="D76" s="13"/>
      <c r="E76" s="8">
        <v>345</v>
      </c>
      <c r="F76" s="14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79.3" customHeight="1" x14ac:dyDescent="0.4">
      <c r="A77" s="2"/>
      <c r="B77" s="8" t="s">
        <v>198</v>
      </c>
      <c r="C77" s="6" t="s">
        <v>205</v>
      </c>
      <c r="D77" s="7" t="s">
        <v>206</v>
      </c>
      <c r="E77" s="8">
        <v>325</v>
      </c>
      <c r="F77" s="11" t="s">
        <v>207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95.15" customHeight="1" x14ac:dyDescent="0.4">
      <c r="A78" s="2"/>
      <c r="B78" s="8" t="s">
        <v>198</v>
      </c>
      <c r="C78" s="6" t="s">
        <v>208</v>
      </c>
      <c r="D78" s="7" t="s">
        <v>209</v>
      </c>
      <c r="E78" s="8">
        <v>343</v>
      </c>
      <c r="F78" s="11" t="s">
        <v>210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79.3" customHeight="1" x14ac:dyDescent="0.4">
      <c r="A79" s="2"/>
      <c r="B79" s="8" t="s">
        <v>198</v>
      </c>
      <c r="C79" s="18" t="s">
        <v>211</v>
      </c>
      <c r="D79" s="10" t="s">
        <v>212</v>
      </c>
      <c r="E79" s="19">
        <v>320</v>
      </c>
      <c r="F79" s="11" t="s">
        <v>213</v>
      </c>
      <c r="G79" s="14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8.45" x14ac:dyDescent="0.4">
      <c r="A80" s="2"/>
      <c r="B80" s="8" t="s">
        <v>214</v>
      </c>
      <c r="C80" s="6" t="s">
        <v>215</v>
      </c>
      <c r="D80" s="7" t="s">
        <v>216</v>
      </c>
      <c r="E80" s="8" t="s">
        <v>217</v>
      </c>
      <c r="F80" s="11" t="s">
        <v>218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79.3" customHeight="1" x14ac:dyDescent="0.4">
      <c r="A81" s="2"/>
      <c r="B81" s="8" t="s">
        <v>214</v>
      </c>
      <c r="C81" s="6" t="s">
        <v>219</v>
      </c>
      <c r="D81" s="7" t="s">
        <v>220</v>
      </c>
      <c r="E81" s="8" t="s">
        <v>221</v>
      </c>
      <c r="F81" s="11" t="s">
        <v>222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55.3" x14ac:dyDescent="0.4">
      <c r="A82" s="2"/>
      <c r="B82" s="8" t="s">
        <v>223</v>
      </c>
      <c r="C82" s="6" t="s">
        <v>224</v>
      </c>
      <c r="D82" s="7" t="s">
        <v>225</v>
      </c>
      <c r="E82" s="8">
        <v>307</v>
      </c>
      <c r="F82" s="11" t="s">
        <v>226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79.3" customHeight="1" x14ac:dyDescent="0.4">
      <c r="A83" s="2"/>
      <c r="B83" s="8" t="s">
        <v>223</v>
      </c>
      <c r="C83" s="6" t="s">
        <v>227</v>
      </c>
      <c r="D83" s="10" t="s">
        <v>228</v>
      </c>
      <c r="E83" s="8">
        <v>307</v>
      </c>
      <c r="F83" s="11" t="s">
        <v>55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8.45" x14ac:dyDescent="0.4">
      <c r="A84" s="2"/>
      <c r="B84" s="5" t="s">
        <v>229</v>
      </c>
      <c r="C84" s="6" t="s">
        <v>230</v>
      </c>
      <c r="D84" s="7" t="s">
        <v>231</v>
      </c>
      <c r="E84" s="8" t="s">
        <v>232</v>
      </c>
      <c r="F84" s="11" t="s">
        <v>233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79.3" x14ac:dyDescent="0.4">
      <c r="A85" s="2"/>
      <c r="B85" s="5" t="s">
        <v>234</v>
      </c>
      <c r="C85" s="6" t="s">
        <v>235</v>
      </c>
      <c r="D85" s="7" t="s">
        <v>236</v>
      </c>
      <c r="E85" s="8" t="s">
        <v>237</v>
      </c>
      <c r="F85" s="11" t="s">
        <v>238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65.9" x14ac:dyDescent="0.4">
      <c r="A86" s="2"/>
      <c r="B86" s="5" t="s">
        <v>239</v>
      </c>
      <c r="C86" s="20" t="s">
        <v>240</v>
      </c>
      <c r="D86" s="13"/>
      <c r="E86" s="8">
        <v>235</v>
      </c>
      <c r="F86" s="11" t="s">
        <v>241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10.6" x14ac:dyDescent="0.4">
      <c r="A87" s="2"/>
      <c r="B87" s="5" t="s">
        <v>242</v>
      </c>
      <c r="C87" s="20" t="s">
        <v>243</v>
      </c>
      <c r="D87" s="13"/>
      <c r="E87" s="8">
        <v>250</v>
      </c>
      <c r="F87" s="14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4">
      <c r="A92" s="1"/>
      <c r="B92" s="2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4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4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4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4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4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4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4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4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4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4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4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4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4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4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4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4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4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4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4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4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4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4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4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4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4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4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4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4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4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4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4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4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4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4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4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4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4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4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4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4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4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4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4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4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4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4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4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4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4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4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4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4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4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4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4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4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4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4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4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4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4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4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4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4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4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4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4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4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4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4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4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4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4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4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4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4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4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4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4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4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4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4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4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4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4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4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4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4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4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4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4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4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4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4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4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4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4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4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4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4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4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4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4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4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4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4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4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4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4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4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4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4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4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4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4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4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4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4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4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4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4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4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4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4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4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4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4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4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4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4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4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4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4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4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4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4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4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4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4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4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4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4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4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4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4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4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4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4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4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4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4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4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4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4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4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4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4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4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4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4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4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4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4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4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4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4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4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4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4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4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4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4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4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4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4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4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4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4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4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4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4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4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4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4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4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4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4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4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4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4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4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4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4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4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4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4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4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4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4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4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4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4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4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4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4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4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4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4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4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4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4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4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4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4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4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4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4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4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4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4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4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4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4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4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4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4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4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4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4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4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4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4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4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4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4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4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4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4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4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4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4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4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4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4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4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4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4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4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4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4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4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4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4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4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4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4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4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4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4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4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4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4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4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4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4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4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4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4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4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4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4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4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4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4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4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4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4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4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4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4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4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4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4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4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4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4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4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4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4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4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4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4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4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4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4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4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4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4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4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4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4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4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4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4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4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4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4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4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4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4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4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4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4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4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4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4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4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4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4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4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4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4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4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4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4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4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4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4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4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4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4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4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4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4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4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4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4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4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4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4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4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4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4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4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4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4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4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4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4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4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4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4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4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4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4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4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4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4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4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4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4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4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4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4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4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4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4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4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4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4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4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4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4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4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4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4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4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4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4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4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4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4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4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4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4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4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4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4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4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4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4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4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4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4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4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4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4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4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4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4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4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4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4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4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4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4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4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4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4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4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4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4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4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4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4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4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4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4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4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4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4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4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4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4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4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4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4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4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4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4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4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4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4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4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4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4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4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4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4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4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4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4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4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4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4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4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4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4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4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4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4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4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4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4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4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4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4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4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4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4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4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4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4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4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4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4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4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4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4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4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4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4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4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4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4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4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4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4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4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4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4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4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4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4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4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4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4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4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4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4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4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4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4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4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4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4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4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4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4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4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4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4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4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4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4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4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4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4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4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4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4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4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4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4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4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4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4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4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4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4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4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4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4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4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4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4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4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4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4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4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4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4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4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4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4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4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4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4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4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4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4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4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4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4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4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4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4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4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4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4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4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4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4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4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4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4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4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4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4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4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4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4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4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4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4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4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4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4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4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4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4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4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4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4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4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4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4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4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4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4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4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4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4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4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4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4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4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4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4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4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4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4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4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4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4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4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4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4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4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4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4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4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4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4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4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4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4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4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4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4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4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4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4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4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4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4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4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4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4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4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4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4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4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4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4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4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4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4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4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4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4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4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4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4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4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4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4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4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4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4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4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4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4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4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4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4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4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4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4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4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4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4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4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4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4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4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4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4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4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4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4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4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4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4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4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4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4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4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4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4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4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4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4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4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4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4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4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4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4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4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4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4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4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4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4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4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4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4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4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4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4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4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4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4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4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4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4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4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4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4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4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4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4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4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4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4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4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4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4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4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4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4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4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4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4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4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4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4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4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4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4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4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4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4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4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4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4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4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4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4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4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4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4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4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4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4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4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4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4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4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4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4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4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4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4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4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4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4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4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4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4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4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4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4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4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4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4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4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4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4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4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4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4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4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4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4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4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4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4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4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4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4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4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4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4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4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4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4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4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4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4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4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4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4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4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4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4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4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4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4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4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4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4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4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4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4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4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4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4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4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4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4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4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4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4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4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4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4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4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4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4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4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4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4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4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4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4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4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4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4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4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4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4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4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4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4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4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4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4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4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4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4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4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4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4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4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4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4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4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4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4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4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4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4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4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4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4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4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4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4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4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4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4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4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4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4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4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4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4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4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4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4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4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4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4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4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4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4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4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4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4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4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4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4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4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4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4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4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4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4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4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4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4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4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4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4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4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4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4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4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4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4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4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4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4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4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4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4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4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4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4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4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4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4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4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4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4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4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C58:C59"/>
    <mergeCell ref="D58:D59"/>
    <mergeCell ref="F58:F59"/>
  </mergeCells>
  <hyperlinks>
    <hyperlink ref="D4" r:id="rId1" display="mailto:hacontreras@pjud.cl" xr:uid="{8F26A4EC-13E5-448B-A764-2195C50847D1}"/>
    <hyperlink ref="D5" r:id="rId2" display="mailto:gnegroni@pjud.cl;gloria.negroni24@gmail.com" xr:uid="{F23A93EA-CA6A-4911-8293-DF8436A3D524}"/>
    <hyperlink ref="D6" r:id="rId3" display="mailto:gnegroni@pjud.cl;gloria.negroni24@gmail.com" xr:uid="{A35B68C8-88CD-4AFD-8C52-2A87908F8478}"/>
    <hyperlink ref="D7" r:id="rId4" display="mailto:clecerf@pjud.cl;clcpjud@gmail.com" xr:uid="{582EE378-DBCD-4B82-B3DE-6D7DE522F9E4}"/>
    <hyperlink ref="D8" r:id="rId5" display="mailto:fpulgar@pjud.cl;felopulgar@gmail.com" xr:uid="{1370B6F5-6708-4A18-8F0B-DD2AA0B445A1}"/>
    <hyperlink ref="D9" r:id="rId6" display="mailto:stroncoso@pjud.cl;sergio.coquimbano@gmail.com" xr:uid="{B63E7232-4D7D-4AF2-A2D1-7C00D893B5AB}"/>
    <hyperlink ref="D10" r:id="rId7" display="mailto:icorona@pjud.cl;icorona64@hotmail.com" xr:uid="{F0FD7644-9BF5-4CCC-8FCE-13C4BCF77B13}"/>
    <hyperlink ref="D11" r:id="rId8" display="mailto:masandoval@pjud.cl;masandovalduran@gmail.com" xr:uid="{AF291125-B5E5-4C0D-BC6E-DFC6804D3F79}"/>
    <hyperlink ref="D13" r:id="rId9" display="mailto:rpdiaz@pjud.cl" xr:uid="{19B28E91-418B-4EE8-A55E-2A908A36212C}"/>
    <hyperlink ref="D17" r:id="rId10" display="mailto:fiscaliajudicial1_calaserena@pjud.cl" xr:uid="{3A1358DC-28ED-4CE6-AA79-69F836F1D7D6}"/>
    <hyperlink ref="D19" r:id="rId11" display="mailto:lediaz@pjud.cl/svasquezg@pjud.cl" xr:uid="{90AF4A2D-18CF-4CBB-8BD5-4A9A6FF516B2}"/>
    <hyperlink ref="D20" r:id="rId12" display="mailto:cavidals@pjud.cl" xr:uid="{5D3CE75C-9608-4216-AD56-2D862AB886AD}"/>
    <hyperlink ref="D21" r:id="rId13" display="mailto:fiscaliajudicial2_calaserena@pjud.cl" xr:uid="{987AA700-19FB-4053-A6F1-B4F499D2F868}"/>
    <hyperlink ref="D23" r:id="rId14" display="mailto:clettura@pjud.cl" xr:uid="{26123FC6-610F-4DB6-990C-B590A77347FE}"/>
    <hyperlink ref="D24" r:id="rId15" display="mailto:lcarvajalg@pjud.cl" xr:uid="{7F0B5A34-34A6-41F2-ADDD-52DBFFB4A490}"/>
    <hyperlink ref="D30" r:id="rId16" display="mailto:cvargasp@pjud.cl" xr:uid="{61E619E5-56B4-49B5-AA24-45686173C855}"/>
    <hyperlink ref="D32" r:id="rId17" display="mailto:calvarezl@pjud.cl" xr:uid="{59E7C397-5108-43CB-B4A5-6459395EC072}"/>
    <hyperlink ref="D34" r:id="rId18" display="mailto:fvilchesc@pjud.cl" xr:uid="{0EA06FBC-8C0A-408D-8D82-17CEA47F405C}"/>
    <hyperlink ref="D38" r:id="rId19" display="mailto:cmcastro@pjud.cl" xr:uid="{4019879F-49FB-4FD5-AACF-D42A8C874623}"/>
    <hyperlink ref="D40" r:id="rId20" display="mailto:dmarin@pjud.cl" xr:uid="{49375CBC-981D-4455-96AE-0FAC3E388FA1}"/>
    <hyperlink ref="D41" r:id="rId21" display="mailto:unidadcausas_ca_laserena@pjud.cl" xr:uid="{77A7C1C5-B9A2-43D6-9BE9-C91B12DFF2BB}"/>
    <hyperlink ref="D42" r:id="rId22" display="mailto:vncarvajal@pjud.cl" xr:uid="{032AD779-E543-47FC-A92C-88DFFC87B54B}"/>
    <hyperlink ref="D47" r:id="rId23" display="mailto:mrocco@pjud.cl" xr:uid="{4E5C46C9-EB76-4A63-BB43-F5EE5196E3C3}"/>
    <hyperlink ref="D48" r:id="rId24" display="mailto:calvarezl@pjud.cl" xr:uid="{43B447E1-F249-4638-85C3-EE779EA19E4F}"/>
    <hyperlink ref="D49" r:id="rId25" display="mailto:aaguilera@pjud.cl" xr:uid="{8240C01E-89D7-42A1-924E-51804F2456B0}"/>
    <hyperlink ref="D50" r:id="rId26" display="mailto:aferreirab@pjud.cl" xr:uid="{95AF0D77-6937-4B8D-B3E8-ACD0549ECD91}"/>
    <hyperlink ref="D52" r:id="rId27" display="mailto:mncontrerasa@pjud.cl" xr:uid="{6B134A1D-4580-47C0-9073-A74135E2D945}"/>
    <hyperlink ref="D53" r:id="rId28" display="mailto:ifescobar@pjud.cl" xr:uid="{B0315E2A-6B28-473D-8371-CCEA48341360}"/>
    <hyperlink ref="D54" r:id="rId29" display="mailto:amauad@pjud.cl" xr:uid="{35923EB8-568D-43CB-B499-BC407CFF9AAA}"/>
    <hyperlink ref="D55" r:id="rId30" display="mailto:lvflores@pjud.cl" xr:uid="{74CBEEAD-D705-4F08-BE20-2B8C8F663F73}"/>
    <hyperlink ref="D60" r:id="rId31" display="mailto:gtalcado@pjud.cl" xr:uid="{8A7E30DE-5675-4A0B-B74A-94A77BE81F77}"/>
    <hyperlink ref="D61" r:id="rId32" display="mailto:ucg_calaserena@pjud.cl" xr:uid="{54BB72B6-7CEA-4109-AB63-3E3FFB89E945}"/>
    <hyperlink ref="D66" r:id="rId33" display="mailto:crsantander@pjud.cl" xr:uid="{CB8E23D1-4911-4D01-B9F0-D55E9316CF24}"/>
    <hyperlink ref="D67" r:id="rId34" display="mailto:jolave@pjud.cl" xr:uid="{6CDA6145-FA8F-4F5E-BE56-39BB56947EB1}"/>
    <hyperlink ref="D69" r:id="rId35" display="mailto:pleno_ca_laserena@pjud.cl" xr:uid="{7D05EDDA-F4A0-4200-AB7D-DCB9E9F4576E}"/>
    <hyperlink ref="D73" r:id="rId36" display="mailto:stroncoso@pjud.cl;sergio.coquimbano@gmail.com" xr:uid="{FCCC76AB-93C2-4691-B7A0-20C4F4A1FF38}"/>
    <hyperlink ref="D75" r:id="rId37" display="mailto:pvalenzuelag@pjud.cl" xr:uid="{CF5B8C5E-690E-4543-A051-3F2F3F7055FF}"/>
    <hyperlink ref="D79" r:id="rId38" display="mailto:cfsepulveda@pjud.cl" xr:uid="{13275E18-54DB-43FB-A84B-73A7E164C7AF}"/>
    <hyperlink ref="D83" r:id="rId39" display="mailto:pdgutierrez@pjud.cl" xr:uid="{D9CD255F-24E4-4B29-9B7F-04285FD8CC90}"/>
  </hyperlinks>
  <pageMargins left="0.7" right="0.7" top="0.75" bottom="0.75" header="0.3" footer="0.3"/>
  <pageSetup paperSize="9" orientation="portrait" r:id="rId4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43D6B-F14E-4C2C-BFF0-AFA6A8D7862D}">
  <dimension ref="A1:H98"/>
  <sheetViews>
    <sheetView workbookViewId="0">
      <selection activeCell="E6" sqref="E6"/>
    </sheetView>
  </sheetViews>
  <sheetFormatPr baseColWidth="10" defaultColWidth="9.07421875" defaultRowHeight="14.6" x14ac:dyDescent="0.4"/>
  <cols>
    <col min="1" max="1" width="12.3046875" customWidth="1"/>
    <col min="2" max="2" width="41.4609375" bestFit="1" customWidth="1"/>
    <col min="3" max="3" width="9.07421875" style="24"/>
    <col min="4" max="4" width="26" style="24" bestFit="1" customWidth="1"/>
    <col min="5" max="5" width="43.84375" style="24" customWidth="1"/>
    <col min="6" max="6" width="30.4609375" style="25" customWidth="1"/>
    <col min="7" max="7" width="20" style="24" customWidth="1"/>
    <col min="8" max="8" width="42.07421875" customWidth="1"/>
  </cols>
  <sheetData>
    <row r="1" spans="1:8" ht="15" thickBot="1" x14ac:dyDescent="0.45"/>
    <row r="2" spans="1:8" x14ac:dyDescent="0.4">
      <c r="A2" s="26"/>
      <c r="F2" s="27" t="s">
        <v>244</v>
      </c>
      <c r="G2" s="28">
        <v>46213</v>
      </c>
      <c r="H2" s="29"/>
    </row>
    <row r="3" spans="1:8" ht="22.5" customHeight="1" thickBot="1" x14ac:dyDescent="0.45">
      <c r="A3" s="26"/>
      <c r="F3" s="30" t="s">
        <v>245</v>
      </c>
      <c r="G3" s="31" t="s">
        <v>246</v>
      </c>
      <c r="H3" s="32"/>
    </row>
    <row r="4" spans="1:8" x14ac:dyDescent="0.4">
      <c r="A4" s="26"/>
    </row>
    <row r="5" spans="1:8" ht="23.25" customHeight="1" x14ac:dyDescent="0.4">
      <c r="A5" s="33" t="s">
        <v>247</v>
      </c>
      <c r="B5" s="33" t="s">
        <v>248</v>
      </c>
      <c r="C5" s="33" t="s">
        <v>249</v>
      </c>
      <c r="D5" s="33" t="s">
        <v>250</v>
      </c>
      <c r="E5" s="33" t="s">
        <v>251</v>
      </c>
      <c r="F5" s="33" t="s">
        <v>252</v>
      </c>
      <c r="G5" s="33" t="s">
        <v>253</v>
      </c>
      <c r="H5" s="33" t="s">
        <v>254</v>
      </c>
    </row>
    <row r="6" spans="1:8" x14ac:dyDescent="0.4">
      <c r="A6" t="s">
        <v>255</v>
      </c>
      <c r="B6" t="s">
        <v>256</v>
      </c>
      <c r="C6" s="24" t="s">
        <v>257</v>
      </c>
      <c r="D6" s="24" t="s">
        <v>258</v>
      </c>
      <c r="E6" s="24" t="s">
        <v>259</v>
      </c>
      <c r="F6" s="25" t="s">
        <v>260</v>
      </c>
      <c r="G6" s="24" t="s">
        <v>261</v>
      </c>
    </row>
    <row r="7" spans="1:8" x14ac:dyDescent="0.4">
      <c r="A7" t="s">
        <v>262</v>
      </c>
      <c r="B7" t="s">
        <v>263</v>
      </c>
      <c r="C7" s="24" t="s">
        <v>264</v>
      </c>
      <c r="D7" s="24" t="s">
        <v>258</v>
      </c>
      <c r="E7" s="24" t="s">
        <v>265</v>
      </c>
      <c r="F7" s="25" t="s">
        <v>266</v>
      </c>
      <c r="G7" s="24" t="s">
        <v>261</v>
      </c>
    </row>
    <row r="8" spans="1:8" x14ac:dyDescent="0.4">
      <c r="A8" t="s">
        <v>267</v>
      </c>
      <c r="B8" t="s">
        <v>268</v>
      </c>
      <c r="C8" s="24" t="s">
        <v>264</v>
      </c>
      <c r="D8" s="24" t="s">
        <v>258</v>
      </c>
      <c r="E8" s="24" t="s">
        <v>265</v>
      </c>
      <c r="F8" s="25" t="s">
        <v>269</v>
      </c>
      <c r="G8" s="24" t="s">
        <v>261</v>
      </c>
    </row>
    <row r="9" spans="1:8" x14ac:dyDescent="0.4">
      <c r="A9" t="s">
        <v>270</v>
      </c>
      <c r="B9" t="s">
        <v>271</v>
      </c>
      <c r="C9" s="24" t="s">
        <v>264</v>
      </c>
      <c r="D9" s="24" t="s">
        <v>258</v>
      </c>
      <c r="E9" s="24" t="s">
        <v>265</v>
      </c>
      <c r="F9" s="25" t="s">
        <v>272</v>
      </c>
      <c r="G9" s="24" t="s">
        <v>261</v>
      </c>
    </row>
    <row r="10" spans="1:8" x14ac:dyDescent="0.4">
      <c r="A10" t="s">
        <v>273</v>
      </c>
      <c r="B10" t="s">
        <v>274</v>
      </c>
      <c r="C10" s="24" t="s">
        <v>264</v>
      </c>
      <c r="D10" s="24" t="s">
        <v>258</v>
      </c>
      <c r="E10" s="24" t="s">
        <v>265</v>
      </c>
      <c r="F10" s="25" t="s">
        <v>275</v>
      </c>
      <c r="G10" s="24" t="s">
        <v>261</v>
      </c>
    </row>
    <row r="11" spans="1:8" x14ac:dyDescent="0.4">
      <c r="A11" t="s">
        <v>276</v>
      </c>
      <c r="B11" t="s">
        <v>277</v>
      </c>
      <c r="C11" s="24" t="s">
        <v>264</v>
      </c>
      <c r="D11" s="24" t="s">
        <v>258</v>
      </c>
      <c r="E11" s="24" t="s">
        <v>265</v>
      </c>
      <c r="F11" s="25" t="s">
        <v>278</v>
      </c>
      <c r="G11" s="24" t="s">
        <v>261</v>
      </c>
    </row>
    <row r="12" spans="1:8" x14ac:dyDescent="0.4">
      <c r="A12" t="s">
        <v>279</v>
      </c>
      <c r="B12" t="s">
        <v>280</v>
      </c>
      <c r="C12" s="24" t="s">
        <v>264</v>
      </c>
      <c r="D12" s="24" t="s">
        <v>258</v>
      </c>
      <c r="E12" s="24" t="s">
        <v>265</v>
      </c>
      <c r="F12" s="25" t="s">
        <v>281</v>
      </c>
      <c r="G12" s="24" t="s">
        <v>261</v>
      </c>
    </row>
    <row r="13" spans="1:8" x14ac:dyDescent="0.4">
      <c r="A13" t="s">
        <v>282</v>
      </c>
      <c r="B13" t="s">
        <v>283</v>
      </c>
      <c r="C13" s="24" t="s">
        <v>264</v>
      </c>
      <c r="D13" s="24" t="s">
        <v>258</v>
      </c>
      <c r="E13" s="24" t="s">
        <v>284</v>
      </c>
      <c r="F13" s="25" t="s">
        <v>285</v>
      </c>
      <c r="G13" s="24" t="s">
        <v>261</v>
      </c>
    </row>
    <row r="14" spans="1:8" x14ac:dyDescent="0.4">
      <c r="A14" t="s">
        <v>286</v>
      </c>
      <c r="B14" t="s">
        <v>287</v>
      </c>
      <c r="C14" s="24" t="s">
        <v>264</v>
      </c>
      <c r="D14" s="24" t="s">
        <v>258</v>
      </c>
      <c r="E14" s="24" t="s">
        <v>284</v>
      </c>
      <c r="F14" s="25" t="s">
        <v>288</v>
      </c>
      <c r="G14" s="24" t="s">
        <v>261</v>
      </c>
    </row>
    <row r="15" spans="1:8" x14ac:dyDescent="0.4">
      <c r="A15" t="s">
        <v>289</v>
      </c>
      <c r="B15" t="s">
        <v>290</v>
      </c>
      <c r="C15" s="24" t="s">
        <v>264</v>
      </c>
      <c r="D15" s="24" t="s">
        <v>291</v>
      </c>
      <c r="E15" s="24" t="s">
        <v>265</v>
      </c>
      <c r="F15" s="25" t="s">
        <v>292</v>
      </c>
      <c r="G15" s="24" t="s">
        <v>261</v>
      </c>
    </row>
    <row r="16" spans="1:8" x14ac:dyDescent="0.4">
      <c r="A16" t="s">
        <v>293</v>
      </c>
      <c r="B16" t="s">
        <v>294</v>
      </c>
      <c r="C16" s="24" t="s">
        <v>264</v>
      </c>
      <c r="D16" s="24" t="s">
        <v>291</v>
      </c>
      <c r="E16" s="24" t="s">
        <v>265</v>
      </c>
      <c r="F16" s="25" t="s">
        <v>295</v>
      </c>
      <c r="G16" s="24" t="s">
        <v>261</v>
      </c>
    </row>
    <row r="17" spans="1:7" x14ac:dyDescent="0.4">
      <c r="A17" t="s">
        <v>296</v>
      </c>
      <c r="B17" t="s">
        <v>297</v>
      </c>
      <c r="C17" s="24" t="s">
        <v>298</v>
      </c>
      <c r="D17" s="24" t="s">
        <v>258</v>
      </c>
      <c r="E17" s="24" t="s">
        <v>299</v>
      </c>
      <c r="F17" s="25" t="s">
        <v>300</v>
      </c>
      <c r="G17" s="24" t="s">
        <v>261</v>
      </c>
    </row>
    <row r="18" spans="1:7" x14ac:dyDescent="0.4">
      <c r="A18" t="s">
        <v>301</v>
      </c>
      <c r="B18" t="s">
        <v>302</v>
      </c>
      <c r="C18" s="24" t="s">
        <v>298</v>
      </c>
      <c r="D18" s="24" t="s">
        <v>258</v>
      </c>
      <c r="E18" s="24" t="s">
        <v>299</v>
      </c>
      <c r="F18" s="25" t="s">
        <v>303</v>
      </c>
      <c r="G18" s="24" t="s">
        <v>261</v>
      </c>
    </row>
    <row r="19" spans="1:7" x14ac:dyDescent="0.4">
      <c r="A19" t="s">
        <v>304</v>
      </c>
      <c r="B19" t="s">
        <v>305</v>
      </c>
      <c r="C19" s="24" t="s">
        <v>298</v>
      </c>
      <c r="D19" s="24" t="s">
        <v>258</v>
      </c>
      <c r="E19" s="24" t="s">
        <v>299</v>
      </c>
      <c r="F19" s="25" t="s">
        <v>306</v>
      </c>
      <c r="G19" s="24" t="s">
        <v>261</v>
      </c>
    </row>
    <row r="20" spans="1:7" x14ac:dyDescent="0.4">
      <c r="A20" t="s">
        <v>307</v>
      </c>
      <c r="B20" t="s">
        <v>308</v>
      </c>
      <c r="C20" s="24" t="s">
        <v>298</v>
      </c>
      <c r="D20" s="24" t="s">
        <v>258</v>
      </c>
      <c r="E20" s="24" t="s">
        <v>299</v>
      </c>
      <c r="F20" s="25" t="s">
        <v>309</v>
      </c>
      <c r="G20" s="24" t="s">
        <v>261</v>
      </c>
    </row>
    <row r="21" spans="1:7" x14ac:dyDescent="0.4">
      <c r="A21" t="s">
        <v>310</v>
      </c>
      <c r="B21" t="s">
        <v>311</v>
      </c>
      <c r="C21" s="24" t="s">
        <v>298</v>
      </c>
      <c r="D21" s="24" t="s">
        <v>258</v>
      </c>
      <c r="E21" s="24" t="s">
        <v>312</v>
      </c>
      <c r="F21" s="25" t="s">
        <v>313</v>
      </c>
      <c r="G21" s="24" t="s">
        <v>261</v>
      </c>
    </row>
    <row r="22" spans="1:7" x14ac:dyDescent="0.4">
      <c r="A22" t="s">
        <v>314</v>
      </c>
      <c r="B22" t="s">
        <v>315</v>
      </c>
      <c r="C22" s="24" t="s">
        <v>298</v>
      </c>
      <c r="D22" s="24" t="s">
        <v>316</v>
      </c>
      <c r="E22" s="24" t="s">
        <v>299</v>
      </c>
      <c r="F22" s="25" t="s">
        <v>317</v>
      </c>
      <c r="G22" s="24" t="s">
        <v>261</v>
      </c>
    </row>
    <row r="23" spans="1:7" x14ac:dyDescent="0.4">
      <c r="A23" t="s">
        <v>318</v>
      </c>
      <c r="B23" t="s">
        <v>319</v>
      </c>
      <c r="C23" s="24" t="s">
        <v>298</v>
      </c>
      <c r="D23" s="24" t="s">
        <v>316</v>
      </c>
      <c r="E23" s="24" t="s">
        <v>299</v>
      </c>
      <c r="F23" s="25" t="s">
        <v>320</v>
      </c>
      <c r="G23" s="24" t="s">
        <v>261</v>
      </c>
    </row>
    <row r="24" spans="1:7" x14ac:dyDescent="0.4">
      <c r="A24" t="s">
        <v>321</v>
      </c>
      <c r="B24" t="s">
        <v>322</v>
      </c>
      <c r="C24" s="24" t="s">
        <v>323</v>
      </c>
      <c r="D24" s="24" t="s">
        <v>324</v>
      </c>
      <c r="E24" s="24" t="s">
        <v>325</v>
      </c>
      <c r="F24" s="25" t="s">
        <v>326</v>
      </c>
      <c r="G24" s="24" t="s">
        <v>261</v>
      </c>
    </row>
    <row r="25" spans="1:7" x14ac:dyDescent="0.4">
      <c r="A25" t="s">
        <v>327</v>
      </c>
      <c r="B25" t="s">
        <v>328</v>
      </c>
      <c r="C25" s="24" t="s">
        <v>329</v>
      </c>
      <c r="D25" s="24" t="s">
        <v>324</v>
      </c>
      <c r="E25" s="24" t="s">
        <v>330</v>
      </c>
      <c r="F25" s="25" t="s">
        <v>331</v>
      </c>
      <c r="G25" s="24" t="s">
        <v>261</v>
      </c>
    </row>
    <row r="26" spans="1:7" x14ac:dyDescent="0.4">
      <c r="A26" t="s">
        <v>332</v>
      </c>
      <c r="B26" t="s">
        <v>333</v>
      </c>
      <c r="C26" s="24" t="s">
        <v>329</v>
      </c>
      <c r="D26" s="24" t="s">
        <v>324</v>
      </c>
      <c r="E26" s="24" t="s">
        <v>334</v>
      </c>
      <c r="F26" s="25" t="s">
        <v>335</v>
      </c>
      <c r="G26" s="24" t="s">
        <v>261</v>
      </c>
    </row>
    <row r="27" spans="1:7" x14ac:dyDescent="0.4">
      <c r="A27" t="s">
        <v>336</v>
      </c>
      <c r="B27" t="s">
        <v>337</v>
      </c>
      <c r="C27" s="24" t="s">
        <v>329</v>
      </c>
      <c r="D27" s="24" t="s">
        <v>258</v>
      </c>
      <c r="E27" s="24" t="s">
        <v>338</v>
      </c>
      <c r="F27" s="25" t="s">
        <v>339</v>
      </c>
      <c r="G27" s="24" t="s">
        <v>261</v>
      </c>
    </row>
    <row r="28" spans="1:7" x14ac:dyDescent="0.4">
      <c r="A28" t="s">
        <v>340</v>
      </c>
      <c r="B28" t="s">
        <v>341</v>
      </c>
      <c r="C28" s="24" t="s">
        <v>342</v>
      </c>
      <c r="D28" s="24" t="s">
        <v>343</v>
      </c>
      <c r="E28" s="24" t="s">
        <v>344</v>
      </c>
      <c r="F28" s="25" t="s">
        <v>345</v>
      </c>
      <c r="G28" s="24" t="s">
        <v>261</v>
      </c>
    </row>
    <row r="29" spans="1:7" x14ac:dyDescent="0.4">
      <c r="A29" t="s">
        <v>346</v>
      </c>
      <c r="B29" t="s">
        <v>347</v>
      </c>
      <c r="C29" s="24" t="s">
        <v>342</v>
      </c>
      <c r="D29" s="24" t="s">
        <v>258</v>
      </c>
      <c r="E29" s="24" t="s">
        <v>348</v>
      </c>
      <c r="F29" s="25" t="s">
        <v>349</v>
      </c>
      <c r="G29" s="24" t="s">
        <v>261</v>
      </c>
    </row>
    <row r="30" spans="1:7" x14ac:dyDescent="0.4">
      <c r="A30" t="s">
        <v>350</v>
      </c>
      <c r="B30" t="s">
        <v>351</v>
      </c>
      <c r="C30" s="24" t="s">
        <v>342</v>
      </c>
      <c r="D30" s="24" t="s">
        <v>343</v>
      </c>
      <c r="E30" s="24" t="s">
        <v>352</v>
      </c>
      <c r="F30" s="25" t="s">
        <v>353</v>
      </c>
      <c r="G30" s="24" t="s">
        <v>261</v>
      </c>
    </row>
    <row r="31" spans="1:7" x14ac:dyDescent="0.4">
      <c r="A31" t="s">
        <v>354</v>
      </c>
      <c r="B31" t="s">
        <v>355</v>
      </c>
      <c r="C31" s="24" t="s">
        <v>342</v>
      </c>
      <c r="D31" s="24" t="s">
        <v>343</v>
      </c>
      <c r="E31" s="24" t="s">
        <v>356</v>
      </c>
      <c r="F31" s="25" t="s">
        <v>357</v>
      </c>
      <c r="G31" s="24" t="s">
        <v>261</v>
      </c>
    </row>
    <row r="32" spans="1:7" x14ac:dyDescent="0.4">
      <c r="A32" t="s">
        <v>358</v>
      </c>
      <c r="B32" t="s">
        <v>359</v>
      </c>
      <c r="C32" s="24" t="s">
        <v>342</v>
      </c>
      <c r="D32" s="24" t="s">
        <v>343</v>
      </c>
      <c r="E32" s="24" t="s">
        <v>356</v>
      </c>
      <c r="F32" s="25" t="s">
        <v>360</v>
      </c>
      <c r="G32" s="24" t="s">
        <v>261</v>
      </c>
    </row>
    <row r="33" spans="1:7" x14ac:dyDescent="0.4">
      <c r="A33" t="s">
        <v>361</v>
      </c>
      <c r="B33" t="s">
        <v>362</v>
      </c>
      <c r="C33" s="24" t="s">
        <v>342</v>
      </c>
      <c r="D33" s="24" t="s">
        <v>343</v>
      </c>
      <c r="E33" s="24" t="s">
        <v>348</v>
      </c>
      <c r="F33" s="25" t="s">
        <v>363</v>
      </c>
      <c r="G33" s="24" t="s">
        <v>261</v>
      </c>
    </row>
    <row r="34" spans="1:7" x14ac:dyDescent="0.4">
      <c r="A34" t="s">
        <v>364</v>
      </c>
      <c r="B34" t="s">
        <v>365</v>
      </c>
      <c r="C34" s="24" t="s">
        <v>342</v>
      </c>
      <c r="D34" s="24" t="s">
        <v>324</v>
      </c>
      <c r="E34" s="24" t="s">
        <v>356</v>
      </c>
      <c r="F34" s="25" t="s">
        <v>366</v>
      </c>
      <c r="G34" s="24" t="s">
        <v>261</v>
      </c>
    </row>
    <row r="35" spans="1:7" x14ac:dyDescent="0.4">
      <c r="A35" t="s">
        <v>367</v>
      </c>
      <c r="B35" t="s">
        <v>368</v>
      </c>
      <c r="C35" s="24" t="s">
        <v>369</v>
      </c>
      <c r="D35" s="24" t="s">
        <v>291</v>
      </c>
      <c r="E35" s="24" t="s">
        <v>370</v>
      </c>
      <c r="F35" s="25" t="s">
        <v>371</v>
      </c>
      <c r="G35" s="24" t="s">
        <v>261</v>
      </c>
    </row>
    <row r="36" spans="1:7" x14ac:dyDescent="0.4">
      <c r="A36" t="s">
        <v>372</v>
      </c>
      <c r="B36" t="s">
        <v>373</v>
      </c>
      <c r="C36" s="24" t="s">
        <v>374</v>
      </c>
      <c r="D36" s="24" t="s">
        <v>258</v>
      </c>
      <c r="E36" s="24" t="s">
        <v>375</v>
      </c>
      <c r="F36" s="25" t="s">
        <v>376</v>
      </c>
      <c r="G36" s="24" t="s">
        <v>261</v>
      </c>
    </row>
    <row r="37" spans="1:7" x14ac:dyDescent="0.4">
      <c r="A37" t="s">
        <v>377</v>
      </c>
      <c r="B37" t="s">
        <v>378</v>
      </c>
      <c r="C37" s="24" t="s">
        <v>374</v>
      </c>
      <c r="D37" s="24" t="s">
        <v>258</v>
      </c>
      <c r="E37" s="24" t="s">
        <v>375</v>
      </c>
      <c r="F37" s="25" t="s">
        <v>379</v>
      </c>
      <c r="G37" s="24" t="s">
        <v>261</v>
      </c>
    </row>
    <row r="38" spans="1:7" x14ac:dyDescent="0.4">
      <c r="A38" t="s">
        <v>380</v>
      </c>
      <c r="B38" t="s">
        <v>381</v>
      </c>
      <c r="C38" s="24" t="s">
        <v>374</v>
      </c>
      <c r="D38" s="24" t="s">
        <v>258</v>
      </c>
      <c r="E38" s="24" t="s">
        <v>375</v>
      </c>
      <c r="F38" s="25" t="s">
        <v>382</v>
      </c>
      <c r="G38" s="24" t="s">
        <v>261</v>
      </c>
    </row>
    <row r="39" spans="1:7" x14ac:dyDescent="0.4">
      <c r="A39" t="s">
        <v>383</v>
      </c>
      <c r="B39" t="s">
        <v>384</v>
      </c>
      <c r="C39" s="24" t="s">
        <v>374</v>
      </c>
      <c r="D39" s="24" t="s">
        <v>258</v>
      </c>
      <c r="E39" s="24" t="s">
        <v>385</v>
      </c>
      <c r="F39" s="25" t="s">
        <v>386</v>
      </c>
      <c r="G39" s="24" t="s">
        <v>261</v>
      </c>
    </row>
    <row r="40" spans="1:7" x14ac:dyDescent="0.4">
      <c r="A40" t="s">
        <v>387</v>
      </c>
      <c r="B40" t="s">
        <v>388</v>
      </c>
      <c r="C40" s="24" t="s">
        <v>374</v>
      </c>
      <c r="D40" s="24" t="s">
        <v>258</v>
      </c>
      <c r="E40" s="24" t="s">
        <v>385</v>
      </c>
      <c r="F40" s="25" t="s">
        <v>389</v>
      </c>
      <c r="G40" s="24" t="s">
        <v>261</v>
      </c>
    </row>
    <row r="41" spans="1:7" x14ac:dyDescent="0.4">
      <c r="A41" t="s">
        <v>390</v>
      </c>
      <c r="B41" t="s">
        <v>391</v>
      </c>
      <c r="C41" s="24" t="s">
        <v>374</v>
      </c>
      <c r="D41" s="24" t="s">
        <v>343</v>
      </c>
      <c r="E41" s="24" t="s">
        <v>375</v>
      </c>
      <c r="F41" s="25" t="s">
        <v>392</v>
      </c>
      <c r="G41" s="24" t="s">
        <v>261</v>
      </c>
    </row>
    <row r="42" spans="1:7" x14ac:dyDescent="0.4">
      <c r="A42" t="s">
        <v>393</v>
      </c>
      <c r="B42" t="s">
        <v>394</v>
      </c>
      <c r="C42" s="24" t="s">
        <v>374</v>
      </c>
      <c r="D42" s="24" t="s">
        <v>343</v>
      </c>
      <c r="E42" s="24" t="s">
        <v>375</v>
      </c>
      <c r="F42" s="25" t="s">
        <v>395</v>
      </c>
      <c r="G42" s="24" t="s">
        <v>261</v>
      </c>
    </row>
    <row r="43" spans="1:7" x14ac:dyDescent="0.4">
      <c r="A43" t="s">
        <v>396</v>
      </c>
      <c r="B43" t="s">
        <v>397</v>
      </c>
      <c r="C43" s="24" t="s">
        <v>374</v>
      </c>
      <c r="D43" s="24" t="s">
        <v>343</v>
      </c>
      <c r="E43" s="24" t="s">
        <v>375</v>
      </c>
      <c r="F43" s="25" t="s">
        <v>398</v>
      </c>
      <c r="G43" s="24" t="s">
        <v>261</v>
      </c>
    </row>
    <row r="44" spans="1:7" x14ac:dyDescent="0.4">
      <c r="A44" t="s">
        <v>399</v>
      </c>
      <c r="B44" t="s">
        <v>400</v>
      </c>
      <c r="C44" s="24" t="s">
        <v>374</v>
      </c>
      <c r="D44" s="24" t="s">
        <v>343</v>
      </c>
      <c r="E44" s="24" t="s">
        <v>375</v>
      </c>
      <c r="F44" s="25" t="s">
        <v>401</v>
      </c>
      <c r="G44" s="24" t="s">
        <v>261</v>
      </c>
    </row>
    <row r="45" spans="1:7" x14ac:dyDescent="0.4">
      <c r="A45" t="s">
        <v>402</v>
      </c>
      <c r="B45" t="s">
        <v>403</v>
      </c>
      <c r="C45" s="24" t="s">
        <v>374</v>
      </c>
      <c r="D45" s="24" t="s">
        <v>343</v>
      </c>
      <c r="E45" s="24" t="s">
        <v>375</v>
      </c>
      <c r="F45" s="25" t="s">
        <v>404</v>
      </c>
      <c r="G45" s="24" t="s">
        <v>261</v>
      </c>
    </row>
    <row r="46" spans="1:7" x14ac:dyDescent="0.4">
      <c r="A46" t="s">
        <v>405</v>
      </c>
      <c r="B46" t="s">
        <v>406</v>
      </c>
      <c r="C46" s="24" t="s">
        <v>374</v>
      </c>
      <c r="D46" s="24" t="s">
        <v>343</v>
      </c>
      <c r="E46" s="24" t="s">
        <v>375</v>
      </c>
      <c r="F46" s="25" t="s">
        <v>407</v>
      </c>
      <c r="G46" s="24" t="s">
        <v>261</v>
      </c>
    </row>
    <row r="47" spans="1:7" x14ac:dyDescent="0.4">
      <c r="A47" t="s">
        <v>408</v>
      </c>
      <c r="B47" t="s">
        <v>409</v>
      </c>
      <c r="C47" s="24" t="s">
        <v>374</v>
      </c>
      <c r="D47" s="24" t="s">
        <v>343</v>
      </c>
      <c r="E47" s="24" t="s">
        <v>375</v>
      </c>
      <c r="F47" s="25" t="s">
        <v>410</v>
      </c>
      <c r="G47" s="24" t="s">
        <v>261</v>
      </c>
    </row>
    <row r="48" spans="1:7" x14ac:dyDescent="0.4">
      <c r="A48" t="s">
        <v>411</v>
      </c>
      <c r="B48" t="s">
        <v>412</v>
      </c>
      <c r="C48" s="24" t="s">
        <v>374</v>
      </c>
      <c r="D48" s="24" t="s">
        <v>343</v>
      </c>
      <c r="E48" s="24" t="s">
        <v>375</v>
      </c>
      <c r="F48" s="25" t="s">
        <v>413</v>
      </c>
      <c r="G48" s="24" t="s">
        <v>261</v>
      </c>
    </row>
    <row r="49" spans="1:7" x14ac:dyDescent="0.4">
      <c r="A49" t="s">
        <v>414</v>
      </c>
      <c r="B49" t="s">
        <v>415</v>
      </c>
      <c r="C49" s="24" t="s">
        <v>374</v>
      </c>
      <c r="D49" s="24" t="s">
        <v>343</v>
      </c>
      <c r="E49" s="24" t="s">
        <v>416</v>
      </c>
      <c r="F49" s="25" t="s">
        <v>417</v>
      </c>
      <c r="G49" s="24" t="s">
        <v>261</v>
      </c>
    </row>
    <row r="50" spans="1:7" x14ac:dyDescent="0.4">
      <c r="A50" t="s">
        <v>418</v>
      </c>
      <c r="B50" t="s">
        <v>419</v>
      </c>
      <c r="C50" s="24" t="s">
        <v>374</v>
      </c>
      <c r="D50" s="24" t="s">
        <v>291</v>
      </c>
      <c r="E50" s="24" t="s">
        <v>375</v>
      </c>
      <c r="F50" s="25" t="s">
        <v>420</v>
      </c>
      <c r="G50" s="24" t="s">
        <v>261</v>
      </c>
    </row>
    <row r="51" spans="1:7" x14ac:dyDescent="0.4">
      <c r="A51" t="s">
        <v>421</v>
      </c>
      <c r="B51" t="s">
        <v>422</v>
      </c>
      <c r="C51" s="24" t="s">
        <v>374</v>
      </c>
      <c r="D51" s="24" t="s">
        <v>423</v>
      </c>
      <c r="E51" s="24" t="s">
        <v>385</v>
      </c>
      <c r="F51" s="25" t="s">
        <v>424</v>
      </c>
      <c r="G51" s="24" t="s">
        <v>261</v>
      </c>
    </row>
    <row r="52" spans="1:7" x14ac:dyDescent="0.4">
      <c r="A52" t="s">
        <v>425</v>
      </c>
      <c r="B52" t="s">
        <v>426</v>
      </c>
      <c r="C52" s="24" t="s">
        <v>374</v>
      </c>
      <c r="D52" s="24" t="s">
        <v>324</v>
      </c>
      <c r="E52" s="24" t="s">
        <v>427</v>
      </c>
      <c r="F52" s="25" t="s">
        <v>428</v>
      </c>
      <c r="G52" s="24" t="s">
        <v>261</v>
      </c>
    </row>
    <row r="53" spans="1:7" x14ac:dyDescent="0.4">
      <c r="A53" t="s">
        <v>429</v>
      </c>
      <c r="B53" t="s">
        <v>430</v>
      </c>
      <c r="C53" s="24" t="s">
        <v>374</v>
      </c>
      <c r="D53" s="24" t="s">
        <v>431</v>
      </c>
      <c r="E53" s="24" t="s">
        <v>375</v>
      </c>
      <c r="F53" s="25" t="s">
        <v>432</v>
      </c>
      <c r="G53" s="24" t="s">
        <v>261</v>
      </c>
    </row>
    <row r="54" spans="1:7" x14ac:dyDescent="0.4">
      <c r="A54" t="s">
        <v>433</v>
      </c>
      <c r="B54" t="s">
        <v>434</v>
      </c>
      <c r="C54" s="24" t="s">
        <v>435</v>
      </c>
      <c r="D54" s="24" t="s">
        <v>343</v>
      </c>
      <c r="E54" s="24" t="s">
        <v>436</v>
      </c>
      <c r="F54" s="25" t="s">
        <v>437</v>
      </c>
      <c r="G54" s="24" t="s">
        <v>261</v>
      </c>
    </row>
    <row r="55" spans="1:7" x14ac:dyDescent="0.4">
      <c r="A55" t="s">
        <v>438</v>
      </c>
      <c r="B55" t="s">
        <v>439</v>
      </c>
      <c r="C55" s="24" t="s">
        <v>435</v>
      </c>
      <c r="D55" s="24" t="s">
        <v>343</v>
      </c>
      <c r="E55" s="24" t="s">
        <v>440</v>
      </c>
      <c r="F55" s="25" t="s">
        <v>441</v>
      </c>
      <c r="G55" s="24" t="s">
        <v>261</v>
      </c>
    </row>
    <row r="56" spans="1:7" x14ac:dyDescent="0.4">
      <c r="A56" t="s">
        <v>442</v>
      </c>
      <c r="B56" t="s">
        <v>443</v>
      </c>
      <c r="C56" s="24" t="s">
        <v>435</v>
      </c>
      <c r="D56" s="24" t="s">
        <v>343</v>
      </c>
      <c r="E56" s="24" t="s">
        <v>440</v>
      </c>
      <c r="F56" s="25" t="s">
        <v>444</v>
      </c>
      <c r="G56" s="24" t="s">
        <v>261</v>
      </c>
    </row>
    <row r="57" spans="1:7" x14ac:dyDescent="0.4">
      <c r="A57" t="s">
        <v>445</v>
      </c>
      <c r="B57" t="s">
        <v>446</v>
      </c>
      <c r="C57" s="24" t="s">
        <v>447</v>
      </c>
      <c r="D57" s="24" t="s">
        <v>258</v>
      </c>
      <c r="E57" s="24" t="s">
        <v>448</v>
      </c>
      <c r="F57" s="25" t="s">
        <v>449</v>
      </c>
      <c r="G57" s="24" t="s">
        <v>261</v>
      </c>
    </row>
    <row r="58" spans="1:7" x14ac:dyDescent="0.4">
      <c r="A58" t="s">
        <v>450</v>
      </c>
      <c r="B58" t="s">
        <v>451</v>
      </c>
      <c r="C58" s="24" t="s">
        <v>447</v>
      </c>
      <c r="D58" s="24" t="s">
        <v>258</v>
      </c>
      <c r="E58" s="24" t="s">
        <v>448</v>
      </c>
      <c r="F58" s="25" t="s">
        <v>452</v>
      </c>
      <c r="G58" s="24" t="s">
        <v>261</v>
      </c>
    </row>
    <row r="59" spans="1:7" x14ac:dyDescent="0.4">
      <c r="A59" t="s">
        <v>453</v>
      </c>
      <c r="B59" t="s">
        <v>454</v>
      </c>
      <c r="C59" s="24" t="s">
        <v>447</v>
      </c>
      <c r="D59" s="24" t="s">
        <v>258</v>
      </c>
      <c r="E59" s="24" t="s">
        <v>455</v>
      </c>
      <c r="F59" s="25" t="s">
        <v>456</v>
      </c>
      <c r="G59" s="24" t="s">
        <v>261</v>
      </c>
    </row>
    <row r="60" spans="1:7" x14ac:dyDescent="0.4">
      <c r="A60" t="s">
        <v>457</v>
      </c>
      <c r="B60" t="s">
        <v>458</v>
      </c>
      <c r="C60" s="24" t="s">
        <v>447</v>
      </c>
      <c r="D60" s="24" t="s">
        <v>258</v>
      </c>
      <c r="E60" s="24" t="s">
        <v>459</v>
      </c>
      <c r="F60" s="25" t="s">
        <v>460</v>
      </c>
      <c r="G60" s="24" t="s">
        <v>261</v>
      </c>
    </row>
    <row r="61" spans="1:7" x14ac:dyDescent="0.4">
      <c r="A61" t="s">
        <v>461</v>
      </c>
      <c r="B61" t="s">
        <v>462</v>
      </c>
      <c r="C61" s="24" t="s">
        <v>447</v>
      </c>
      <c r="D61" s="24" t="s">
        <v>343</v>
      </c>
      <c r="E61" s="24" t="s">
        <v>448</v>
      </c>
      <c r="F61" s="25" t="s">
        <v>463</v>
      </c>
      <c r="G61" s="24" t="s">
        <v>261</v>
      </c>
    </row>
    <row r="62" spans="1:7" x14ac:dyDescent="0.4">
      <c r="A62" t="s">
        <v>464</v>
      </c>
      <c r="B62" t="s">
        <v>465</v>
      </c>
      <c r="C62" s="24" t="s">
        <v>447</v>
      </c>
      <c r="D62" s="24" t="s">
        <v>423</v>
      </c>
      <c r="E62" s="24" t="s">
        <v>448</v>
      </c>
      <c r="F62" s="25" t="s">
        <v>466</v>
      </c>
      <c r="G62" s="24" t="s">
        <v>261</v>
      </c>
    </row>
    <row r="63" spans="1:7" x14ac:dyDescent="0.4">
      <c r="A63" t="s">
        <v>467</v>
      </c>
      <c r="B63" t="s">
        <v>468</v>
      </c>
      <c r="C63" s="24" t="s">
        <v>469</v>
      </c>
      <c r="D63" s="24" t="s">
        <v>431</v>
      </c>
      <c r="E63" s="24" t="s">
        <v>470</v>
      </c>
      <c r="F63" s="25" t="s">
        <v>471</v>
      </c>
      <c r="G63" s="24" t="s">
        <v>261</v>
      </c>
    </row>
    <row r="64" spans="1:7" x14ac:dyDescent="0.4">
      <c r="A64" t="s">
        <v>472</v>
      </c>
      <c r="B64" t="s">
        <v>473</v>
      </c>
      <c r="C64" s="24" t="s">
        <v>474</v>
      </c>
      <c r="D64" s="24" t="s">
        <v>258</v>
      </c>
      <c r="E64" s="24" t="s">
        <v>475</v>
      </c>
      <c r="F64" s="25" t="s">
        <v>476</v>
      </c>
      <c r="G64" s="24" t="s">
        <v>261</v>
      </c>
    </row>
    <row r="65" spans="1:7" x14ac:dyDescent="0.4">
      <c r="A65" t="s">
        <v>477</v>
      </c>
      <c r="B65" t="s">
        <v>478</v>
      </c>
      <c r="C65" s="24" t="s">
        <v>474</v>
      </c>
      <c r="D65" s="24" t="s">
        <v>343</v>
      </c>
      <c r="E65" s="24" t="s">
        <v>479</v>
      </c>
      <c r="F65" s="25" t="s">
        <v>480</v>
      </c>
      <c r="G65" s="24" t="s">
        <v>261</v>
      </c>
    </row>
    <row r="66" spans="1:7" x14ac:dyDescent="0.4">
      <c r="A66" t="s">
        <v>481</v>
      </c>
      <c r="B66" t="s">
        <v>482</v>
      </c>
      <c r="C66" s="24" t="s">
        <v>474</v>
      </c>
      <c r="D66" s="24" t="s">
        <v>343</v>
      </c>
      <c r="E66" s="24" t="s">
        <v>479</v>
      </c>
      <c r="F66" s="25" t="s">
        <v>483</v>
      </c>
      <c r="G66" s="24" t="s">
        <v>261</v>
      </c>
    </row>
    <row r="67" spans="1:7" x14ac:dyDescent="0.4">
      <c r="A67" t="s">
        <v>484</v>
      </c>
      <c r="B67" t="s">
        <v>485</v>
      </c>
      <c r="C67" s="24" t="s">
        <v>486</v>
      </c>
      <c r="D67" s="24" t="s">
        <v>343</v>
      </c>
      <c r="E67" s="24" t="s">
        <v>487</v>
      </c>
      <c r="F67" s="25" t="s">
        <v>488</v>
      </c>
      <c r="G67" s="24" t="s">
        <v>229</v>
      </c>
    </row>
    <row r="68" spans="1:7" x14ac:dyDescent="0.4">
      <c r="A68" t="s">
        <v>489</v>
      </c>
      <c r="B68" t="s">
        <v>490</v>
      </c>
      <c r="C68" s="24" t="s">
        <v>447</v>
      </c>
      <c r="D68" s="24" t="s">
        <v>343</v>
      </c>
      <c r="E68" s="24" t="s">
        <v>491</v>
      </c>
      <c r="F68" s="25" t="s">
        <v>492</v>
      </c>
      <c r="G68" s="24" t="s">
        <v>229</v>
      </c>
    </row>
    <row r="69" spans="1:7" x14ac:dyDescent="0.4">
      <c r="A69" t="s">
        <v>493</v>
      </c>
      <c r="B69" t="s">
        <v>494</v>
      </c>
      <c r="C69" s="24" t="s">
        <v>447</v>
      </c>
      <c r="D69" s="24" t="s">
        <v>343</v>
      </c>
      <c r="E69" s="24" t="s">
        <v>491</v>
      </c>
      <c r="F69" s="25" t="s">
        <v>495</v>
      </c>
      <c r="G69" s="24" t="s">
        <v>229</v>
      </c>
    </row>
    <row r="70" spans="1:7" x14ac:dyDescent="0.4">
      <c r="A70" t="s">
        <v>496</v>
      </c>
      <c r="B70" t="s">
        <v>497</v>
      </c>
      <c r="C70" s="24" t="s">
        <v>447</v>
      </c>
      <c r="D70" s="24" t="s">
        <v>343</v>
      </c>
      <c r="E70" s="24" t="s">
        <v>491</v>
      </c>
      <c r="F70" s="25" t="s">
        <v>498</v>
      </c>
      <c r="G70" s="24" t="s">
        <v>229</v>
      </c>
    </row>
    <row r="71" spans="1:7" x14ac:dyDescent="0.4">
      <c r="A71" t="s">
        <v>499</v>
      </c>
      <c r="B71" t="s">
        <v>500</v>
      </c>
      <c r="C71" s="24" t="s">
        <v>447</v>
      </c>
      <c r="D71" s="24" t="s">
        <v>343</v>
      </c>
      <c r="E71" s="24" t="s">
        <v>491</v>
      </c>
      <c r="F71" s="25" t="s">
        <v>501</v>
      </c>
      <c r="G71" s="24" t="s">
        <v>229</v>
      </c>
    </row>
    <row r="72" spans="1:7" x14ac:dyDescent="0.4">
      <c r="A72" t="s">
        <v>502</v>
      </c>
      <c r="B72" t="s">
        <v>503</v>
      </c>
      <c r="C72" s="24" t="s">
        <v>447</v>
      </c>
      <c r="D72" s="24" t="s">
        <v>343</v>
      </c>
      <c r="E72" s="24" t="s">
        <v>491</v>
      </c>
      <c r="F72" s="25" t="s">
        <v>504</v>
      </c>
      <c r="G72" s="24" t="s">
        <v>229</v>
      </c>
    </row>
    <row r="73" spans="1:7" x14ac:dyDescent="0.4">
      <c r="A73" t="s">
        <v>505</v>
      </c>
      <c r="B73" t="s">
        <v>506</v>
      </c>
      <c r="C73" s="24" t="s">
        <v>447</v>
      </c>
      <c r="D73" s="24" t="s">
        <v>343</v>
      </c>
      <c r="E73" s="24" t="s">
        <v>491</v>
      </c>
      <c r="F73" s="25" t="s">
        <v>507</v>
      </c>
      <c r="G73" s="24" t="s">
        <v>229</v>
      </c>
    </row>
    <row r="74" spans="1:7" x14ac:dyDescent="0.4">
      <c r="A74" t="s">
        <v>508</v>
      </c>
      <c r="B74" t="s">
        <v>509</v>
      </c>
      <c r="C74" s="24" t="s">
        <v>447</v>
      </c>
      <c r="D74" s="24" t="s">
        <v>343</v>
      </c>
      <c r="E74" s="24" t="s">
        <v>491</v>
      </c>
      <c r="F74" s="25" t="s">
        <v>510</v>
      </c>
      <c r="G74" s="24" t="s">
        <v>229</v>
      </c>
    </row>
    <row r="75" spans="1:7" x14ac:dyDescent="0.4">
      <c r="A75" t="s">
        <v>511</v>
      </c>
      <c r="B75" t="s">
        <v>512</v>
      </c>
      <c r="C75" s="24" t="s">
        <v>447</v>
      </c>
      <c r="D75" s="24" t="s">
        <v>343</v>
      </c>
      <c r="E75" s="24" t="s">
        <v>491</v>
      </c>
      <c r="F75" s="25" t="s">
        <v>513</v>
      </c>
      <c r="G75" s="24" t="s">
        <v>229</v>
      </c>
    </row>
    <row r="76" spans="1:7" x14ac:dyDescent="0.4">
      <c r="A76" t="s">
        <v>514</v>
      </c>
      <c r="B76" t="s">
        <v>515</v>
      </c>
      <c r="C76" s="24" t="s">
        <v>447</v>
      </c>
      <c r="D76" s="24" t="s">
        <v>431</v>
      </c>
      <c r="E76" s="24" t="s">
        <v>491</v>
      </c>
      <c r="F76" s="25" t="s">
        <v>516</v>
      </c>
      <c r="G76" s="24" t="s">
        <v>229</v>
      </c>
    </row>
    <row r="77" spans="1:7" x14ac:dyDescent="0.4">
      <c r="A77" t="s">
        <v>517</v>
      </c>
      <c r="B77" t="s">
        <v>518</v>
      </c>
      <c r="C77" s="24" t="s">
        <v>369</v>
      </c>
      <c r="D77" s="24" t="s">
        <v>324</v>
      </c>
      <c r="E77" s="24" t="s">
        <v>519</v>
      </c>
      <c r="F77" s="25" t="s">
        <v>520</v>
      </c>
      <c r="G77" s="24" t="s">
        <v>521</v>
      </c>
    </row>
    <row r="78" spans="1:7" x14ac:dyDescent="0.4">
      <c r="A78" t="s">
        <v>522</v>
      </c>
      <c r="B78" t="s">
        <v>523</v>
      </c>
      <c r="C78" s="24" t="s">
        <v>435</v>
      </c>
      <c r="D78" s="24" t="s">
        <v>343</v>
      </c>
      <c r="E78" s="24" t="s">
        <v>524</v>
      </c>
      <c r="F78" s="25" t="s">
        <v>525</v>
      </c>
      <c r="G78" s="24" t="s">
        <v>521</v>
      </c>
    </row>
    <row r="79" spans="1:7" x14ac:dyDescent="0.4">
      <c r="A79" t="s">
        <v>526</v>
      </c>
      <c r="B79" t="s">
        <v>527</v>
      </c>
      <c r="C79" s="24" t="s">
        <v>435</v>
      </c>
      <c r="D79" s="24" t="s">
        <v>343</v>
      </c>
      <c r="E79" s="24" t="s">
        <v>524</v>
      </c>
      <c r="F79" s="25" t="s">
        <v>528</v>
      </c>
      <c r="G79" s="24" t="s">
        <v>521</v>
      </c>
    </row>
    <row r="80" spans="1:7" x14ac:dyDescent="0.4">
      <c r="A80" t="s">
        <v>529</v>
      </c>
      <c r="B80" t="s">
        <v>530</v>
      </c>
      <c r="C80" s="24" t="s">
        <v>435</v>
      </c>
      <c r="D80" s="24" t="s">
        <v>343</v>
      </c>
      <c r="E80" s="24" t="s">
        <v>524</v>
      </c>
      <c r="F80" s="25" t="s">
        <v>531</v>
      </c>
      <c r="G80" s="24" t="s">
        <v>521</v>
      </c>
    </row>
    <row r="81" spans="1:7" x14ac:dyDescent="0.4">
      <c r="A81" t="s">
        <v>532</v>
      </c>
      <c r="B81" t="s">
        <v>533</v>
      </c>
      <c r="C81" s="24" t="s">
        <v>435</v>
      </c>
      <c r="D81" s="24" t="s">
        <v>343</v>
      </c>
      <c r="E81" s="24" t="s">
        <v>524</v>
      </c>
      <c r="F81" s="25" t="s">
        <v>534</v>
      </c>
      <c r="G81" s="24" t="s">
        <v>521</v>
      </c>
    </row>
    <row r="82" spans="1:7" x14ac:dyDescent="0.4">
      <c r="A82" t="s">
        <v>535</v>
      </c>
      <c r="B82" t="s">
        <v>536</v>
      </c>
      <c r="C82" s="24" t="s">
        <v>435</v>
      </c>
      <c r="D82" s="24" t="s">
        <v>343</v>
      </c>
      <c r="E82" s="24" t="s">
        <v>524</v>
      </c>
      <c r="F82" s="25" t="s">
        <v>537</v>
      </c>
      <c r="G82" s="24" t="s">
        <v>521</v>
      </c>
    </row>
    <row r="83" spans="1:7" x14ac:dyDescent="0.4">
      <c r="A83" t="s">
        <v>538</v>
      </c>
      <c r="B83" t="s">
        <v>539</v>
      </c>
      <c r="C83" s="24" t="s">
        <v>435</v>
      </c>
      <c r="D83" s="24" t="s">
        <v>343</v>
      </c>
      <c r="E83" s="24" t="s">
        <v>524</v>
      </c>
      <c r="F83" s="25" t="s">
        <v>540</v>
      </c>
      <c r="G83" s="24" t="s">
        <v>521</v>
      </c>
    </row>
    <row r="84" spans="1:7" x14ac:dyDescent="0.4">
      <c r="A84" t="s">
        <v>541</v>
      </c>
      <c r="B84" t="s">
        <v>542</v>
      </c>
      <c r="C84" s="24" t="s">
        <v>435</v>
      </c>
      <c r="D84" s="24" t="s">
        <v>431</v>
      </c>
      <c r="E84" s="24" t="s">
        <v>524</v>
      </c>
      <c r="F84" s="25" t="s">
        <v>543</v>
      </c>
      <c r="G84" s="24" t="s">
        <v>521</v>
      </c>
    </row>
    <row r="85" spans="1:7" x14ac:dyDescent="0.4">
      <c r="A85" t="s">
        <v>544</v>
      </c>
      <c r="B85" t="s">
        <v>545</v>
      </c>
      <c r="C85" s="24" t="s">
        <v>369</v>
      </c>
      <c r="D85" s="24" t="s">
        <v>324</v>
      </c>
      <c r="E85" s="24" t="s">
        <v>519</v>
      </c>
      <c r="F85" s="25" t="s">
        <v>546</v>
      </c>
      <c r="G85" s="24" t="s">
        <v>547</v>
      </c>
    </row>
    <row r="86" spans="1:7" x14ac:dyDescent="0.4">
      <c r="A86" t="s">
        <v>548</v>
      </c>
      <c r="B86" t="s">
        <v>549</v>
      </c>
      <c r="C86" s="24" t="s">
        <v>374</v>
      </c>
      <c r="D86" s="24" t="s">
        <v>343</v>
      </c>
      <c r="E86" s="24" t="s">
        <v>550</v>
      </c>
      <c r="F86" s="25" t="s">
        <v>551</v>
      </c>
      <c r="G86" s="24" t="s">
        <v>547</v>
      </c>
    </row>
    <row r="87" spans="1:7" x14ac:dyDescent="0.4">
      <c r="A87" t="s">
        <v>552</v>
      </c>
      <c r="B87" t="s">
        <v>553</v>
      </c>
      <c r="C87" s="24" t="s">
        <v>435</v>
      </c>
      <c r="D87" s="24" t="s">
        <v>343</v>
      </c>
      <c r="E87" s="24" t="s">
        <v>554</v>
      </c>
      <c r="F87" s="25" t="s">
        <v>555</v>
      </c>
      <c r="G87" s="24" t="s">
        <v>547</v>
      </c>
    </row>
    <row r="88" spans="1:7" x14ac:dyDescent="0.4">
      <c r="A88" t="s">
        <v>556</v>
      </c>
      <c r="B88" t="s">
        <v>557</v>
      </c>
      <c r="C88" s="24" t="s">
        <v>435</v>
      </c>
      <c r="D88" s="24" t="s">
        <v>343</v>
      </c>
      <c r="E88" s="24" t="s">
        <v>554</v>
      </c>
      <c r="F88" s="25" t="s">
        <v>558</v>
      </c>
      <c r="G88" s="24" t="s">
        <v>547</v>
      </c>
    </row>
    <row r="89" spans="1:7" x14ac:dyDescent="0.4">
      <c r="A89" t="s">
        <v>559</v>
      </c>
      <c r="B89" t="s">
        <v>560</v>
      </c>
      <c r="C89" s="24" t="s">
        <v>435</v>
      </c>
      <c r="D89" s="24" t="s">
        <v>343</v>
      </c>
      <c r="E89" s="24" t="s">
        <v>554</v>
      </c>
      <c r="F89" s="25" t="s">
        <v>561</v>
      </c>
      <c r="G89" s="24" t="s">
        <v>547</v>
      </c>
    </row>
    <row r="90" spans="1:7" x14ac:dyDescent="0.4">
      <c r="A90" t="s">
        <v>562</v>
      </c>
      <c r="B90" t="s">
        <v>563</v>
      </c>
      <c r="C90" s="24" t="s">
        <v>435</v>
      </c>
      <c r="D90" s="24" t="s">
        <v>343</v>
      </c>
      <c r="E90" s="24" t="s">
        <v>554</v>
      </c>
      <c r="F90" s="25" t="s">
        <v>564</v>
      </c>
      <c r="G90" s="24" t="s">
        <v>547</v>
      </c>
    </row>
    <row r="91" spans="1:7" x14ac:dyDescent="0.4">
      <c r="A91" t="s">
        <v>565</v>
      </c>
      <c r="B91" t="s">
        <v>566</v>
      </c>
      <c r="C91" s="24" t="s">
        <v>435</v>
      </c>
      <c r="D91" s="24" t="s">
        <v>343</v>
      </c>
      <c r="E91" s="24" t="s">
        <v>554</v>
      </c>
      <c r="F91" s="25" t="s">
        <v>567</v>
      </c>
      <c r="G91" s="24" t="s">
        <v>547</v>
      </c>
    </row>
    <row r="92" spans="1:7" x14ac:dyDescent="0.4">
      <c r="A92" t="s">
        <v>568</v>
      </c>
      <c r="B92" t="s">
        <v>569</v>
      </c>
      <c r="C92" s="24" t="s">
        <v>435</v>
      </c>
      <c r="D92" s="24" t="s">
        <v>343</v>
      </c>
      <c r="E92" s="24" t="s">
        <v>554</v>
      </c>
      <c r="F92" s="25" t="s">
        <v>570</v>
      </c>
      <c r="G92" s="24" t="s">
        <v>547</v>
      </c>
    </row>
    <row r="93" spans="1:7" x14ac:dyDescent="0.4">
      <c r="A93" t="s">
        <v>571</v>
      </c>
      <c r="B93" t="s">
        <v>572</v>
      </c>
      <c r="C93" s="24" t="s">
        <v>435</v>
      </c>
      <c r="D93" s="24" t="s">
        <v>343</v>
      </c>
      <c r="E93" s="24" t="s">
        <v>554</v>
      </c>
      <c r="F93" s="25" t="s">
        <v>573</v>
      </c>
      <c r="G93" s="24" t="s">
        <v>547</v>
      </c>
    </row>
    <row r="94" spans="1:7" x14ac:dyDescent="0.4">
      <c r="A94" t="s">
        <v>574</v>
      </c>
      <c r="B94" t="s">
        <v>575</v>
      </c>
      <c r="C94" s="24" t="s">
        <v>435</v>
      </c>
      <c r="D94" s="24" t="s">
        <v>324</v>
      </c>
      <c r="E94" s="24" t="s">
        <v>554</v>
      </c>
      <c r="F94" s="25" t="s">
        <v>576</v>
      </c>
      <c r="G94" s="24" t="s">
        <v>547</v>
      </c>
    </row>
    <row r="95" spans="1:7" x14ac:dyDescent="0.4">
      <c r="A95" t="s">
        <v>577</v>
      </c>
      <c r="B95" t="s">
        <v>578</v>
      </c>
      <c r="C95" s="24" t="s">
        <v>435</v>
      </c>
      <c r="D95" s="24" t="s">
        <v>324</v>
      </c>
      <c r="E95" s="24" t="s">
        <v>554</v>
      </c>
      <c r="F95" s="25" t="s">
        <v>579</v>
      </c>
      <c r="G95" s="24" t="s">
        <v>547</v>
      </c>
    </row>
    <row r="96" spans="1:7" x14ac:dyDescent="0.4">
      <c r="A96" t="s">
        <v>580</v>
      </c>
      <c r="B96" t="s">
        <v>581</v>
      </c>
      <c r="C96" s="24" t="s">
        <v>435</v>
      </c>
      <c r="D96" s="24" t="s">
        <v>343</v>
      </c>
      <c r="E96" s="24" t="s">
        <v>582</v>
      </c>
      <c r="F96" s="25" t="s">
        <v>583</v>
      </c>
      <c r="G96" s="24" t="s">
        <v>223</v>
      </c>
    </row>
    <row r="97" spans="1:7" x14ac:dyDescent="0.4">
      <c r="A97" t="s">
        <v>584</v>
      </c>
      <c r="B97" t="s">
        <v>585</v>
      </c>
      <c r="C97" s="24" t="s">
        <v>435</v>
      </c>
      <c r="D97" s="24" t="s">
        <v>343</v>
      </c>
      <c r="E97" s="24" t="s">
        <v>582</v>
      </c>
      <c r="F97" s="25" t="s">
        <v>586</v>
      </c>
      <c r="G97" s="24" t="s">
        <v>223</v>
      </c>
    </row>
    <row r="98" spans="1:7" x14ac:dyDescent="0.4">
      <c r="A98" t="s">
        <v>587</v>
      </c>
      <c r="B98" t="s">
        <v>588</v>
      </c>
      <c r="C98" s="24" t="s">
        <v>435</v>
      </c>
      <c r="D98" s="24" t="s">
        <v>431</v>
      </c>
      <c r="E98" s="24" t="s">
        <v>582</v>
      </c>
      <c r="F98" s="25" t="s">
        <v>589</v>
      </c>
      <c r="G98" s="24" t="s">
        <v>223</v>
      </c>
    </row>
  </sheetData>
  <conditionalFormatting sqref="B6:B98">
    <cfRule type="duplicateValues" dxfId="3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0863F-65C8-416D-91B8-863D692F2F38}">
  <dimension ref="A1:AC790"/>
  <sheetViews>
    <sheetView workbookViewId="0">
      <selection sqref="A1:XFD1048576"/>
    </sheetView>
  </sheetViews>
  <sheetFormatPr baseColWidth="10" defaultRowHeight="14.6" x14ac:dyDescent="0.4"/>
  <cols>
    <col min="1" max="1" width="8.15234375" bestFit="1" customWidth="1"/>
    <col min="2" max="2" width="29.23046875" bestFit="1" customWidth="1"/>
    <col min="3" max="3" width="13.15234375" bestFit="1" customWidth="1"/>
    <col min="4" max="4" width="18.84375" customWidth="1"/>
    <col min="5" max="5" width="23.4609375" customWidth="1"/>
    <col min="6" max="6" width="33.84375" bestFit="1" customWidth="1"/>
    <col min="7" max="7" width="46.23046875" customWidth="1"/>
    <col min="8" max="8" width="24" style="385" customWidth="1"/>
    <col min="9" max="9" width="36.15234375" customWidth="1"/>
    <col min="10" max="10" width="59" customWidth="1"/>
    <col min="11" max="11" width="11.4609375" customWidth="1"/>
    <col min="12" max="12" width="17.23046875" style="24" customWidth="1"/>
    <col min="13" max="13" width="71.4609375" style="24" customWidth="1"/>
    <col min="14" max="14" width="34.15234375" style="24" customWidth="1"/>
    <col min="15" max="15" width="32.53515625" style="24" customWidth="1"/>
    <col min="16" max="16" width="19.15234375" style="24" customWidth="1"/>
    <col min="17" max="17" width="23.23046875" style="25" customWidth="1"/>
    <col min="18" max="18" width="17.4609375" customWidth="1"/>
    <col min="19" max="19" width="21.15234375" customWidth="1"/>
    <col min="20" max="20" width="11.4609375" customWidth="1"/>
  </cols>
  <sheetData>
    <row r="1" spans="1:20" ht="15" thickBot="1" x14ac:dyDescent="0.45">
      <c r="B1" s="34" t="s">
        <v>253</v>
      </c>
      <c r="C1" s="34" t="s">
        <v>590</v>
      </c>
      <c r="D1" s="35" t="s">
        <v>591</v>
      </c>
      <c r="E1" s="35" t="s">
        <v>592</v>
      </c>
      <c r="F1" s="35" t="s">
        <v>593</v>
      </c>
      <c r="G1" s="35" t="s">
        <v>248</v>
      </c>
      <c r="H1" s="36" t="s">
        <v>594</v>
      </c>
      <c r="I1" s="37" t="s">
        <v>251</v>
      </c>
      <c r="J1" s="37" t="s">
        <v>595</v>
      </c>
      <c r="K1" s="37" t="s">
        <v>596</v>
      </c>
      <c r="L1" s="37" t="s">
        <v>597</v>
      </c>
      <c r="M1" s="37" t="s">
        <v>598</v>
      </c>
      <c r="N1" s="38" t="s">
        <v>599</v>
      </c>
      <c r="O1" s="35" t="s">
        <v>600</v>
      </c>
      <c r="P1" s="35" t="s">
        <v>601</v>
      </c>
      <c r="Q1" s="39" t="s">
        <v>602</v>
      </c>
      <c r="R1" s="35" t="s">
        <v>603</v>
      </c>
      <c r="S1" s="35" t="s">
        <v>604</v>
      </c>
    </row>
    <row r="2" spans="1:20" ht="15" customHeight="1" x14ac:dyDescent="0.4">
      <c r="A2">
        <v>1</v>
      </c>
      <c r="B2" s="40" t="s">
        <v>605</v>
      </c>
      <c r="C2" s="41" t="s">
        <v>606</v>
      </c>
      <c r="D2" s="42" t="s">
        <v>607</v>
      </c>
      <c r="E2" s="42" t="s">
        <v>608</v>
      </c>
      <c r="F2" s="42" t="s">
        <v>609</v>
      </c>
      <c r="G2" s="42" t="s">
        <v>610</v>
      </c>
      <c r="H2" s="43" t="s">
        <v>611</v>
      </c>
      <c r="I2" s="44" t="s">
        <v>612</v>
      </c>
      <c r="J2" s="42" t="s">
        <v>613</v>
      </c>
      <c r="K2" s="44" t="s">
        <v>614</v>
      </c>
      <c r="L2" s="42" t="s">
        <v>615</v>
      </c>
      <c r="M2" s="45"/>
      <c r="N2" s="46"/>
      <c r="O2" s="47"/>
      <c r="P2" s="47"/>
      <c r="Q2" s="48"/>
      <c r="R2" s="49"/>
      <c r="S2" s="50"/>
    </row>
    <row r="3" spans="1:20" ht="15" customHeight="1" x14ac:dyDescent="0.4">
      <c r="A3">
        <f>A2+1</f>
        <v>2</v>
      </c>
      <c r="B3" s="40" t="s">
        <v>605</v>
      </c>
      <c r="C3" s="51" t="s">
        <v>616</v>
      </c>
      <c r="D3" s="52" t="s">
        <v>617</v>
      </c>
      <c r="E3" s="52" t="s">
        <v>618</v>
      </c>
      <c r="F3" s="52" t="s">
        <v>619</v>
      </c>
      <c r="G3" s="52" t="s">
        <v>620</v>
      </c>
      <c r="H3" s="53" t="s">
        <v>621</v>
      </c>
      <c r="I3" s="52" t="s">
        <v>622</v>
      </c>
      <c r="J3" s="52" t="s">
        <v>623</v>
      </c>
      <c r="K3" s="54" t="s">
        <v>614</v>
      </c>
      <c r="L3" s="52" t="s">
        <v>615</v>
      </c>
      <c r="M3" s="45"/>
      <c r="N3" s="46"/>
      <c r="O3" s="47"/>
      <c r="P3" s="47"/>
      <c r="Q3" s="48"/>
      <c r="R3" s="49"/>
      <c r="S3" s="50"/>
    </row>
    <row r="4" spans="1:20" ht="15" customHeight="1" x14ac:dyDescent="0.4">
      <c r="A4">
        <f t="shared" ref="A4:A67" si="0">A3+1</f>
        <v>3</v>
      </c>
      <c r="B4" s="40" t="s">
        <v>605</v>
      </c>
      <c r="C4" s="51" t="s">
        <v>624</v>
      </c>
      <c r="D4" s="52" t="s">
        <v>625</v>
      </c>
      <c r="E4" s="52" t="s">
        <v>626</v>
      </c>
      <c r="F4" s="52" t="s">
        <v>627</v>
      </c>
      <c r="G4" s="52" t="s">
        <v>628</v>
      </c>
      <c r="H4" s="53" t="s">
        <v>629</v>
      </c>
      <c r="I4" s="52" t="s">
        <v>630</v>
      </c>
      <c r="J4" s="53" t="s">
        <v>631</v>
      </c>
      <c r="K4" s="54" t="s">
        <v>614</v>
      </c>
      <c r="L4" s="52" t="s">
        <v>615</v>
      </c>
      <c r="M4" s="45"/>
      <c r="N4" s="46"/>
      <c r="O4" s="47"/>
      <c r="P4" s="47"/>
      <c r="Q4" s="48"/>
      <c r="R4" s="49"/>
      <c r="S4" s="50"/>
    </row>
    <row r="5" spans="1:20" ht="15" customHeight="1" x14ac:dyDescent="0.4">
      <c r="A5">
        <f t="shared" si="0"/>
        <v>4</v>
      </c>
      <c r="B5" s="40" t="s">
        <v>605</v>
      </c>
      <c r="C5" s="51" t="s">
        <v>632</v>
      </c>
      <c r="D5" s="52" t="s">
        <v>625</v>
      </c>
      <c r="E5" s="52" t="s">
        <v>633</v>
      </c>
      <c r="F5" s="52" t="s">
        <v>634</v>
      </c>
      <c r="G5" s="52" t="s">
        <v>635</v>
      </c>
      <c r="H5" s="53" t="s">
        <v>636</v>
      </c>
      <c r="I5" s="52" t="s">
        <v>622</v>
      </c>
      <c r="J5" s="52" t="s">
        <v>637</v>
      </c>
      <c r="K5" s="54" t="s">
        <v>614</v>
      </c>
      <c r="L5" s="52" t="s">
        <v>615</v>
      </c>
      <c r="M5" s="45"/>
      <c r="N5" s="46"/>
      <c r="O5" s="47"/>
      <c r="P5" s="47"/>
      <c r="Q5" s="48"/>
      <c r="R5" s="49"/>
      <c r="S5" s="50"/>
    </row>
    <row r="6" spans="1:20" ht="15" customHeight="1" x14ac:dyDescent="0.4">
      <c r="A6">
        <f t="shared" si="0"/>
        <v>5</v>
      </c>
      <c r="B6" s="40" t="s">
        <v>605</v>
      </c>
      <c r="C6" s="51" t="s">
        <v>445</v>
      </c>
      <c r="D6" s="52" t="s">
        <v>608</v>
      </c>
      <c r="E6" s="52" t="s">
        <v>638</v>
      </c>
      <c r="F6" s="52" t="s">
        <v>639</v>
      </c>
      <c r="G6" s="52" t="s">
        <v>640</v>
      </c>
      <c r="H6" s="55" t="s">
        <v>131</v>
      </c>
      <c r="I6" s="52" t="s">
        <v>641</v>
      </c>
      <c r="J6" s="52" t="s">
        <v>642</v>
      </c>
      <c r="K6" s="54" t="s">
        <v>614</v>
      </c>
      <c r="L6" s="52" t="s">
        <v>643</v>
      </c>
      <c r="M6" s="56"/>
      <c r="N6" s="46"/>
      <c r="O6" s="47"/>
      <c r="P6" s="57"/>
      <c r="Q6" s="58"/>
      <c r="R6" s="47"/>
      <c r="S6" s="50"/>
    </row>
    <row r="7" spans="1:20" ht="15" customHeight="1" x14ac:dyDescent="0.4">
      <c r="A7">
        <f t="shared" si="0"/>
        <v>6</v>
      </c>
      <c r="B7" s="40" t="s">
        <v>605</v>
      </c>
      <c r="C7" s="51" t="s">
        <v>644</v>
      </c>
      <c r="D7" s="52" t="s">
        <v>608</v>
      </c>
      <c r="E7" s="52" t="s">
        <v>645</v>
      </c>
      <c r="F7" s="52" t="s">
        <v>646</v>
      </c>
      <c r="G7" s="52" t="s">
        <v>647</v>
      </c>
      <c r="H7" s="53" t="s">
        <v>648</v>
      </c>
      <c r="I7" s="52" t="s">
        <v>649</v>
      </c>
      <c r="J7" s="52" t="s">
        <v>650</v>
      </c>
      <c r="K7" s="54" t="s">
        <v>614</v>
      </c>
      <c r="L7" s="52" t="s">
        <v>615</v>
      </c>
      <c r="M7" s="45"/>
      <c r="N7" s="46"/>
      <c r="O7" s="47"/>
      <c r="P7" s="47"/>
      <c r="Q7" s="48"/>
      <c r="R7" s="49"/>
      <c r="S7" s="50"/>
    </row>
    <row r="8" spans="1:20" ht="15" customHeight="1" x14ac:dyDescent="0.4">
      <c r="A8">
        <f t="shared" si="0"/>
        <v>7</v>
      </c>
      <c r="B8" s="40" t="s">
        <v>605</v>
      </c>
      <c r="C8" s="51" t="s">
        <v>651</v>
      </c>
      <c r="D8" s="52" t="s">
        <v>608</v>
      </c>
      <c r="E8" s="52" t="s">
        <v>652</v>
      </c>
      <c r="F8" s="52" t="s">
        <v>653</v>
      </c>
      <c r="G8" s="52" t="s">
        <v>654</v>
      </c>
      <c r="H8" s="59" t="s">
        <v>655</v>
      </c>
      <c r="I8" s="52" t="s">
        <v>656</v>
      </c>
      <c r="J8" s="52" t="s">
        <v>657</v>
      </c>
      <c r="K8" s="54" t="s">
        <v>614</v>
      </c>
      <c r="L8" s="52" t="s">
        <v>615</v>
      </c>
      <c r="M8" s="45"/>
      <c r="N8" s="46"/>
      <c r="O8" s="47"/>
      <c r="P8" s="47"/>
      <c r="Q8" s="48"/>
      <c r="R8" s="49"/>
      <c r="S8" s="50"/>
    </row>
    <row r="9" spans="1:20" ht="15" customHeight="1" x14ac:dyDescent="0.4">
      <c r="A9">
        <f t="shared" si="0"/>
        <v>8</v>
      </c>
      <c r="B9" s="40" t="s">
        <v>605</v>
      </c>
      <c r="C9" s="51" t="s">
        <v>658</v>
      </c>
      <c r="D9" s="52" t="s">
        <v>659</v>
      </c>
      <c r="E9" s="53" t="s">
        <v>660</v>
      </c>
      <c r="F9" s="53" t="s">
        <v>661</v>
      </c>
      <c r="G9" s="53" t="s">
        <v>662</v>
      </c>
      <c r="H9" s="53" t="s">
        <v>663</v>
      </c>
      <c r="I9" s="52" t="s">
        <v>612</v>
      </c>
      <c r="J9" s="52" t="s">
        <v>664</v>
      </c>
      <c r="K9" s="52" t="s">
        <v>614</v>
      </c>
      <c r="L9" s="52" t="s">
        <v>615</v>
      </c>
      <c r="M9" s="45"/>
      <c r="N9" s="46"/>
      <c r="O9" s="47"/>
      <c r="P9" s="47"/>
      <c r="Q9" s="48"/>
      <c r="R9" s="49"/>
      <c r="S9" s="50"/>
    </row>
    <row r="10" spans="1:20" ht="15" customHeight="1" x14ac:dyDescent="0.4">
      <c r="A10">
        <f t="shared" si="0"/>
        <v>9</v>
      </c>
      <c r="B10" s="40" t="s">
        <v>605</v>
      </c>
      <c r="C10" s="51" t="s">
        <v>665</v>
      </c>
      <c r="D10" s="52" t="s">
        <v>659</v>
      </c>
      <c r="E10" s="53" t="s">
        <v>659</v>
      </c>
      <c r="F10" s="53" t="s">
        <v>666</v>
      </c>
      <c r="G10" s="53" t="s">
        <v>667</v>
      </c>
      <c r="H10" s="60" t="s">
        <v>668</v>
      </c>
      <c r="I10" s="52" t="s">
        <v>649</v>
      </c>
      <c r="J10" s="52" t="s">
        <v>669</v>
      </c>
      <c r="K10" s="54" t="s">
        <v>614</v>
      </c>
      <c r="L10" s="52" t="s">
        <v>615</v>
      </c>
      <c r="M10" s="45"/>
      <c r="N10" s="46"/>
      <c r="O10" s="47"/>
      <c r="P10" s="47"/>
      <c r="Q10" s="48"/>
      <c r="R10" s="49"/>
      <c r="S10" s="50"/>
    </row>
    <row r="11" spans="1:20" ht="15" customHeight="1" x14ac:dyDescent="0.4">
      <c r="A11">
        <f t="shared" si="0"/>
        <v>10</v>
      </c>
      <c r="B11" s="40" t="s">
        <v>605</v>
      </c>
      <c r="C11" s="41" t="s">
        <v>670</v>
      </c>
      <c r="D11" s="42" t="s">
        <v>671</v>
      </c>
      <c r="E11" s="42" t="s">
        <v>672</v>
      </c>
      <c r="F11" s="42" t="s">
        <v>673</v>
      </c>
      <c r="G11" s="42" t="s">
        <v>674</v>
      </c>
      <c r="H11" s="61" t="s">
        <v>675</v>
      </c>
      <c r="I11" s="42" t="s">
        <v>612</v>
      </c>
      <c r="J11" s="42" t="s">
        <v>676</v>
      </c>
      <c r="K11" s="44" t="s">
        <v>614</v>
      </c>
      <c r="L11" s="42" t="s">
        <v>615</v>
      </c>
      <c r="M11" s="62"/>
      <c r="N11" s="46"/>
      <c r="O11" s="47"/>
      <c r="P11" s="47"/>
      <c r="Q11" s="48"/>
      <c r="R11" s="49"/>
      <c r="S11" s="50"/>
    </row>
    <row r="12" spans="1:20" ht="15" customHeight="1" x14ac:dyDescent="0.4">
      <c r="A12">
        <f t="shared" si="0"/>
        <v>11</v>
      </c>
      <c r="B12" s="40" t="s">
        <v>605</v>
      </c>
      <c r="C12" s="51" t="s">
        <v>677</v>
      </c>
      <c r="D12" s="52" t="s">
        <v>678</v>
      </c>
      <c r="E12" s="52" t="s">
        <v>679</v>
      </c>
      <c r="F12" s="52" t="s">
        <v>680</v>
      </c>
      <c r="G12" s="52" t="s">
        <v>681</v>
      </c>
      <c r="H12" s="60" t="s">
        <v>682</v>
      </c>
      <c r="I12" s="52" t="s">
        <v>683</v>
      </c>
      <c r="J12" s="52" t="s">
        <v>684</v>
      </c>
      <c r="K12" s="54" t="s">
        <v>614</v>
      </c>
      <c r="L12" s="52" t="s">
        <v>615</v>
      </c>
      <c r="M12" s="45"/>
      <c r="N12" s="46"/>
      <c r="O12" s="47"/>
      <c r="P12" s="57"/>
      <c r="Q12" s="63"/>
      <c r="R12" s="47"/>
      <c r="S12" s="64"/>
    </row>
    <row r="13" spans="1:20" ht="15" customHeight="1" x14ac:dyDescent="0.4">
      <c r="A13">
        <f t="shared" si="0"/>
        <v>12</v>
      </c>
      <c r="B13" s="40" t="s">
        <v>605</v>
      </c>
      <c r="C13" s="51" t="s">
        <v>685</v>
      </c>
      <c r="D13" s="52" t="s">
        <v>686</v>
      </c>
      <c r="E13" s="53" t="s">
        <v>687</v>
      </c>
      <c r="F13" s="53" t="s">
        <v>688</v>
      </c>
      <c r="G13" s="53" t="s">
        <v>689</v>
      </c>
      <c r="H13" s="65" t="s">
        <v>690</v>
      </c>
      <c r="I13" s="53" t="s">
        <v>683</v>
      </c>
      <c r="J13" s="53" t="s">
        <v>669</v>
      </c>
      <c r="K13" s="54" t="s">
        <v>614</v>
      </c>
      <c r="L13" s="52" t="s">
        <v>615</v>
      </c>
      <c r="M13" s="56"/>
      <c r="N13" s="46"/>
      <c r="O13" s="47"/>
      <c r="P13" s="47"/>
      <c r="Q13" s="48"/>
      <c r="R13" s="49"/>
      <c r="S13" s="50"/>
    </row>
    <row r="14" spans="1:20" ht="15" customHeight="1" x14ac:dyDescent="0.4">
      <c r="A14">
        <f t="shared" si="0"/>
        <v>13</v>
      </c>
      <c r="B14" s="40" t="s">
        <v>605</v>
      </c>
      <c r="C14" s="51" t="s">
        <v>691</v>
      </c>
      <c r="D14" s="52" t="s">
        <v>692</v>
      </c>
      <c r="E14" s="53" t="s">
        <v>693</v>
      </c>
      <c r="F14" s="53" t="s">
        <v>694</v>
      </c>
      <c r="G14" s="53" t="s">
        <v>695</v>
      </c>
      <c r="H14" s="60" t="s">
        <v>696</v>
      </c>
      <c r="I14" s="52" t="s">
        <v>649</v>
      </c>
      <c r="J14" s="53" t="s">
        <v>697</v>
      </c>
      <c r="K14" s="54" t="s">
        <v>614</v>
      </c>
      <c r="L14" s="52" t="s">
        <v>615</v>
      </c>
      <c r="M14" s="45"/>
      <c r="N14" s="46"/>
      <c r="O14" s="47"/>
      <c r="P14" s="57"/>
      <c r="Q14" s="63"/>
      <c r="R14" s="47"/>
      <c r="S14" s="50"/>
    </row>
    <row r="15" spans="1:20" ht="15" customHeight="1" x14ac:dyDescent="0.4">
      <c r="A15">
        <f t="shared" si="0"/>
        <v>14</v>
      </c>
      <c r="B15" s="40" t="s">
        <v>605</v>
      </c>
      <c r="C15" s="51" t="s">
        <v>698</v>
      </c>
      <c r="D15" s="52" t="s">
        <v>692</v>
      </c>
      <c r="E15" s="52" t="s">
        <v>699</v>
      </c>
      <c r="F15" s="52" t="s">
        <v>700</v>
      </c>
      <c r="G15" s="52" t="s">
        <v>701</v>
      </c>
      <c r="H15" s="53" t="s">
        <v>702</v>
      </c>
      <c r="I15" s="53" t="s">
        <v>703</v>
      </c>
      <c r="J15" s="53" t="s">
        <v>704</v>
      </c>
      <c r="K15" s="53" t="s">
        <v>614</v>
      </c>
      <c r="L15" s="52" t="s">
        <v>615</v>
      </c>
      <c r="M15" s="56"/>
      <c r="N15" s="66"/>
      <c r="O15" s="67"/>
      <c r="P15" s="57"/>
      <c r="Q15" s="63"/>
      <c r="R15" s="68"/>
      <c r="S15" s="69"/>
      <c r="T15" s="33"/>
    </row>
    <row r="16" spans="1:20" ht="15" customHeight="1" x14ac:dyDescent="0.4">
      <c r="A16">
        <f t="shared" si="0"/>
        <v>15</v>
      </c>
      <c r="B16" s="40" t="s">
        <v>605</v>
      </c>
      <c r="C16" s="51" t="s">
        <v>705</v>
      </c>
      <c r="D16" s="52" t="s">
        <v>692</v>
      </c>
      <c r="E16" s="52" t="s">
        <v>706</v>
      </c>
      <c r="F16" s="52" t="s">
        <v>707</v>
      </c>
      <c r="G16" s="52" t="s">
        <v>708</v>
      </c>
      <c r="H16" s="59" t="s">
        <v>709</v>
      </c>
      <c r="I16" s="52" t="s">
        <v>641</v>
      </c>
      <c r="J16" s="52" t="s">
        <v>650</v>
      </c>
      <c r="K16" s="54" t="s">
        <v>614</v>
      </c>
      <c r="L16" s="52" t="s">
        <v>643</v>
      </c>
      <c r="M16" s="70"/>
      <c r="N16" s="71"/>
      <c r="O16" s="47"/>
      <c r="P16" s="72"/>
      <c r="Q16" s="58"/>
      <c r="R16" s="73"/>
      <c r="S16" s="74"/>
    </row>
    <row r="17" spans="1:19" ht="15" customHeight="1" x14ac:dyDescent="0.4">
      <c r="A17">
        <f t="shared" si="0"/>
        <v>16</v>
      </c>
      <c r="B17" s="40" t="s">
        <v>605</v>
      </c>
      <c r="C17" s="41" t="s">
        <v>710</v>
      </c>
      <c r="D17" s="52" t="s">
        <v>692</v>
      </c>
      <c r="E17" s="42" t="s">
        <v>711</v>
      </c>
      <c r="F17" s="42" t="s">
        <v>712</v>
      </c>
      <c r="G17" s="42" t="s">
        <v>713</v>
      </c>
      <c r="H17" s="59" t="s">
        <v>714</v>
      </c>
      <c r="I17" s="42" t="s">
        <v>703</v>
      </c>
      <c r="J17" s="42" t="s">
        <v>631</v>
      </c>
      <c r="K17" s="44" t="s">
        <v>614</v>
      </c>
      <c r="L17" s="52" t="s">
        <v>615</v>
      </c>
      <c r="M17" s="62"/>
      <c r="N17" s="46"/>
      <c r="O17" s="47"/>
      <c r="P17" s="72"/>
      <c r="Q17" s="63"/>
      <c r="R17" s="47"/>
      <c r="S17" s="50"/>
    </row>
    <row r="18" spans="1:19" ht="15" customHeight="1" x14ac:dyDescent="0.4">
      <c r="A18">
        <f t="shared" si="0"/>
        <v>17</v>
      </c>
      <c r="B18" s="40" t="s">
        <v>605</v>
      </c>
      <c r="C18" s="41" t="s">
        <v>715</v>
      </c>
      <c r="D18" s="52" t="s">
        <v>692</v>
      </c>
      <c r="E18" s="42" t="s">
        <v>716</v>
      </c>
      <c r="F18" s="42" t="s">
        <v>717</v>
      </c>
      <c r="G18" s="42" t="s">
        <v>718</v>
      </c>
      <c r="H18" s="75" t="s">
        <v>719</v>
      </c>
      <c r="I18" s="76" t="s">
        <v>720</v>
      </c>
      <c r="J18" s="76" t="s">
        <v>721</v>
      </c>
      <c r="K18" s="54" t="s">
        <v>614</v>
      </c>
      <c r="L18" s="76" t="s">
        <v>615</v>
      </c>
      <c r="M18" s="77"/>
      <c r="N18" s="46"/>
      <c r="O18" s="47"/>
      <c r="P18" s="78"/>
      <c r="Q18" s="63"/>
      <c r="R18" s="47"/>
      <c r="S18" s="50"/>
    </row>
    <row r="19" spans="1:19" ht="15" customHeight="1" x14ac:dyDescent="0.4">
      <c r="A19">
        <f t="shared" si="0"/>
        <v>18</v>
      </c>
      <c r="B19" s="40" t="s">
        <v>605</v>
      </c>
      <c r="C19" s="41" t="s">
        <v>722</v>
      </c>
      <c r="D19" s="44" t="s">
        <v>723</v>
      </c>
      <c r="E19" s="44" t="s">
        <v>711</v>
      </c>
      <c r="F19" s="44" t="s">
        <v>724</v>
      </c>
      <c r="G19" s="44" t="s">
        <v>725</v>
      </c>
      <c r="H19" s="59" t="s">
        <v>726</v>
      </c>
      <c r="I19" s="42" t="s">
        <v>727</v>
      </c>
      <c r="J19" s="42" t="s">
        <v>728</v>
      </c>
      <c r="K19" s="54" t="s">
        <v>614</v>
      </c>
      <c r="L19" s="79" t="s">
        <v>643</v>
      </c>
      <c r="M19" s="80"/>
      <c r="N19" s="46"/>
      <c r="O19" s="47"/>
      <c r="P19" s="72"/>
      <c r="Q19" s="58"/>
      <c r="R19" s="47"/>
      <c r="S19" s="50"/>
    </row>
    <row r="20" spans="1:19" ht="15" customHeight="1" x14ac:dyDescent="0.4">
      <c r="A20">
        <f t="shared" si="0"/>
        <v>19</v>
      </c>
      <c r="B20" s="40" t="s">
        <v>605</v>
      </c>
      <c r="C20" s="41" t="s">
        <v>729</v>
      </c>
      <c r="D20" s="44" t="s">
        <v>723</v>
      </c>
      <c r="E20" s="44" t="s">
        <v>730</v>
      </c>
      <c r="F20" s="44" t="s">
        <v>731</v>
      </c>
      <c r="G20" s="44" t="s">
        <v>732</v>
      </c>
      <c r="H20" s="79" t="s">
        <v>733</v>
      </c>
      <c r="I20" s="42" t="s">
        <v>734</v>
      </c>
      <c r="J20" s="42" t="s">
        <v>735</v>
      </c>
      <c r="K20" s="54" t="s">
        <v>614</v>
      </c>
      <c r="L20" s="79" t="s">
        <v>615</v>
      </c>
      <c r="M20" s="80"/>
      <c r="N20" s="46"/>
      <c r="O20" s="47"/>
      <c r="P20" s="57"/>
      <c r="Q20" s="63"/>
      <c r="R20" s="47"/>
      <c r="S20" s="81"/>
    </row>
    <row r="21" spans="1:19" ht="15" customHeight="1" x14ac:dyDescent="0.4">
      <c r="A21">
        <f t="shared" si="0"/>
        <v>20</v>
      </c>
      <c r="B21" s="40" t="s">
        <v>605</v>
      </c>
      <c r="C21" s="51" t="s">
        <v>736</v>
      </c>
      <c r="D21" s="52" t="s">
        <v>723</v>
      </c>
      <c r="E21" s="52" t="s">
        <v>737</v>
      </c>
      <c r="F21" s="52" t="s">
        <v>738</v>
      </c>
      <c r="G21" s="52" t="s">
        <v>739</v>
      </c>
      <c r="H21" s="60" t="s">
        <v>740</v>
      </c>
      <c r="I21" s="52" t="s">
        <v>649</v>
      </c>
      <c r="J21" s="52" t="s">
        <v>613</v>
      </c>
      <c r="K21" s="53" t="s">
        <v>614</v>
      </c>
      <c r="L21" s="52" t="s">
        <v>615</v>
      </c>
      <c r="M21" s="45"/>
      <c r="N21" s="46"/>
      <c r="O21" s="47"/>
      <c r="P21" s="47"/>
      <c r="Q21" s="48"/>
      <c r="R21" s="49"/>
      <c r="S21" s="50"/>
    </row>
    <row r="22" spans="1:19" ht="15" customHeight="1" x14ac:dyDescent="0.4">
      <c r="A22">
        <f t="shared" si="0"/>
        <v>21</v>
      </c>
      <c r="B22" s="40" t="s">
        <v>605</v>
      </c>
      <c r="C22" s="41" t="s">
        <v>741</v>
      </c>
      <c r="D22" s="42" t="s">
        <v>742</v>
      </c>
      <c r="E22" s="42" t="s">
        <v>608</v>
      </c>
      <c r="F22" s="42" t="s">
        <v>743</v>
      </c>
      <c r="G22" s="42" t="s">
        <v>744</v>
      </c>
      <c r="H22" s="82" t="s">
        <v>745</v>
      </c>
      <c r="I22" s="42" t="s">
        <v>720</v>
      </c>
      <c r="J22" s="42" t="s">
        <v>676</v>
      </c>
      <c r="K22" s="54" t="s">
        <v>614</v>
      </c>
      <c r="L22" s="44" t="s">
        <v>615</v>
      </c>
      <c r="M22" s="80"/>
      <c r="N22" s="46"/>
      <c r="O22" s="47"/>
      <c r="P22" s="47"/>
      <c r="Q22" s="48"/>
      <c r="R22" s="49"/>
      <c r="S22" s="50"/>
    </row>
    <row r="23" spans="1:19" ht="15" customHeight="1" x14ac:dyDescent="0.4">
      <c r="A23">
        <f t="shared" si="0"/>
        <v>22</v>
      </c>
      <c r="B23" s="40" t="s">
        <v>605</v>
      </c>
      <c r="C23" s="51" t="s">
        <v>746</v>
      </c>
      <c r="D23" s="52" t="s">
        <v>742</v>
      </c>
      <c r="E23" s="52" t="s">
        <v>747</v>
      </c>
      <c r="F23" s="52" t="s">
        <v>748</v>
      </c>
      <c r="G23" s="52" t="s">
        <v>749</v>
      </c>
      <c r="H23" s="82" t="s">
        <v>750</v>
      </c>
      <c r="I23" s="53" t="s">
        <v>683</v>
      </c>
      <c r="J23" s="52" t="s">
        <v>751</v>
      </c>
      <c r="K23" s="44" t="s">
        <v>614</v>
      </c>
      <c r="L23" s="52" t="s">
        <v>615</v>
      </c>
      <c r="M23" s="45"/>
      <c r="N23" s="46"/>
      <c r="O23" s="47"/>
      <c r="P23" s="47"/>
      <c r="Q23" s="48"/>
      <c r="R23" s="49"/>
      <c r="S23" s="50"/>
    </row>
    <row r="24" spans="1:19" ht="15" customHeight="1" x14ac:dyDescent="0.4">
      <c r="A24">
        <f t="shared" si="0"/>
        <v>23</v>
      </c>
      <c r="B24" s="40" t="s">
        <v>605</v>
      </c>
      <c r="C24" s="51" t="s">
        <v>752</v>
      </c>
      <c r="D24" s="52" t="s">
        <v>742</v>
      </c>
      <c r="E24" s="52" t="s">
        <v>753</v>
      </c>
      <c r="F24" s="52" t="s">
        <v>754</v>
      </c>
      <c r="G24" s="52" t="s">
        <v>755</v>
      </c>
      <c r="H24" s="82" t="s">
        <v>756</v>
      </c>
      <c r="I24" s="52" t="s">
        <v>757</v>
      </c>
      <c r="J24" s="52" t="s">
        <v>623</v>
      </c>
      <c r="K24" s="54" t="s">
        <v>614</v>
      </c>
      <c r="L24" s="52" t="s">
        <v>615</v>
      </c>
      <c r="M24" s="45"/>
      <c r="N24" s="46"/>
      <c r="O24" s="47"/>
      <c r="P24" s="47"/>
      <c r="Q24" s="48"/>
      <c r="R24" s="49"/>
      <c r="S24" s="50"/>
    </row>
    <row r="25" spans="1:19" ht="15" customHeight="1" x14ac:dyDescent="0.4">
      <c r="A25">
        <f t="shared" si="0"/>
        <v>24</v>
      </c>
      <c r="B25" s="40" t="s">
        <v>605</v>
      </c>
      <c r="C25" s="51" t="s">
        <v>758</v>
      </c>
      <c r="D25" s="52" t="s">
        <v>742</v>
      </c>
      <c r="E25" s="52" t="s">
        <v>699</v>
      </c>
      <c r="F25" s="52" t="s">
        <v>759</v>
      </c>
      <c r="G25" s="52" t="s">
        <v>760</v>
      </c>
      <c r="H25" s="82" t="s">
        <v>761</v>
      </c>
      <c r="I25" s="52" t="s">
        <v>762</v>
      </c>
      <c r="J25" s="53" t="s">
        <v>763</v>
      </c>
      <c r="K25" s="54" t="s">
        <v>614</v>
      </c>
      <c r="L25" s="52" t="s">
        <v>615</v>
      </c>
      <c r="M25" s="45"/>
      <c r="N25" s="46"/>
      <c r="O25" s="47"/>
      <c r="P25" s="47"/>
      <c r="Q25" s="48"/>
      <c r="R25" s="49"/>
      <c r="S25" s="50"/>
    </row>
    <row r="26" spans="1:19" ht="15" customHeight="1" x14ac:dyDescent="0.4">
      <c r="A26">
        <f t="shared" si="0"/>
        <v>25</v>
      </c>
      <c r="B26" s="40" t="s">
        <v>605</v>
      </c>
      <c r="C26" s="51" t="s">
        <v>764</v>
      </c>
      <c r="D26" s="52" t="s">
        <v>742</v>
      </c>
      <c r="E26" s="52" t="s">
        <v>687</v>
      </c>
      <c r="F26" s="52" t="s">
        <v>765</v>
      </c>
      <c r="G26" s="52" t="s">
        <v>766</v>
      </c>
      <c r="H26" s="53" t="s">
        <v>767</v>
      </c>
      <c r="I26" s="52" t="s">
        <v>768</v>
      </c>
      <c r="J26" s="52" t="s">
        <v>664</v>
      </c>
      <c r="K26" s="54" t="s">
        <v>614</v>
      </c>
      <c r="L26" s="52" t="s">
        <v>615</v>
      </c>
      <c r="M26" s="45"/>
      <c r="N26" s="46"/>
      <c r="O26" s="47"/>
      <c r="P26" s="57"/>
      <c r="Q26" s="63"/>
      <c r="R26" s="68"/>
      <c r="S26" s="50"/>
    </row>
    <row r="27" spans="1:19" ht="15" customHeight="1" x14ac:dyDescent="0.4">
      <c r="A27">
        <f t="shared" si="0"/>
        <v>26</v>
      </c>
      <c r="B27" s="40" t="s">
        <v>605</v>
      </c>
      <c r="C27" s="51" t="s">
        <v>769</v>
      </c>
      <c r="D27" s="52" t="s">
        <v>742</v>
      </c>
      <c r="E27" s="52" t="s">
        <v>770</v>
      </c>
      <c r="F27" s="52" t="s">
        <v>771</v>
      </c>
      <c r="G27" s="52" t="s">
        <v>772</v>
      </c>
      <c r="H27" s="53" t="s">
        <v>773</v>
      </c>
      <c r="I27" s="52" t="s">
        <v>774</v>
      </c>
      <c r="J27" s="52" t="s">
        <v>642</v>
      </c>
      <c r="K27" s="54" t="s">
        <v>614</v>
      </c>
      <c r="L27" s="52" t="s">
        <v>643</v>
      </c>
      <c r="M27" s="45"/>
      <c r="N27" s="46"/>
      <c r="O27" s="47"/>
      <c r="P27" s="72"/>
      <c r="Q27" s="58"/>
      <c r="R27" s="47"/>
      <c r="S27" s="50"/>
    </row>
    <row r="28" spans="1:19" ht="15" customHeight="1" x14ac:dyDescent="0.4">
      <c r="A28">
        <f t="shared" si="0"/>
        <v>27</v>
      </c>
      <c r="B28" s="40" t="s">
        <v>605</v>
      </c>
      <c r="C28" s="51" t="s">
        <v>364</v>
      </c>
      <c r="D28" s="52" t="s">
        <v>742</v>
      </c>
      <c r="E28" s="52" t="s">
        <v>775</v>
      </c>
      <c r="F28" s="52" t="s">
        <v>776</v>
      </c>
      <c r="G28" s="52" t="s">
        <v>777</v>
      </c>
      <c r="H28" s="43" t="s">
        <v>84</v>
      </c>
      <c r="I28" s="52" t="s">
        <v>641</v>
      </c>
      <c r="J28" s="52" t="s">
        <v>778</v>
      </c>
      <c r="K28" s="53" t="s">
        <v>614</v>
      </c>
      <c r="L28" s="44" t="s">
        <v>615</v>
      </c>
      <c r="M28" s="45"/>
      <c r="N28" s="46"/>
      <c r="O28" s="47"/>
      <c r="P28" s="57"/>
      <c r="Q28" s="63"/>
      <c r="R28" s="68"/>
      <c r="S28" s="50"/>
    </row>
    <row r="29" spans="1:19" ht="15" customHeight="1" x14ac:dyDescent="0.4">
      <c r="A29">
        <f t="shared" si="0"/>
        <v>28</v>
      </c>
      <c r="B29" s="40" t="s">
        <v>605</v>
      </c>
      <c r="C29" s="41" t="s">
        <v>289</v>
      </c>
      <c r="D29" s="44" t="s">
        <v>742</v>
      </c>
      <c r="E29" s="44" t="s">
        <v>779</v>
      </c>
      <c r="F29" s="44" t="s">
        <v>780</v>
      </c>
      <c r="G29" s="44" t="s">
        <v>781</v>
      </c>
      <c r="H29" s="83" t="s">
        <v>782</v>
      </c>
      <c r="I29" s="42" t="s">
        <v>703</v>
      </c>
      <c r="J29" s="44" t="s">
        <v>631</v>
      </c>
      <c r="K29" s="54" t="s">
        <v>614</v>
      </c>
      <c r="L29" s="42" t="s">
        <v>615</v>
      </c>
      <c r="M29" s="45"/>
      <c r="N29"/>
      <c r="O29"/>
      <c r="P29" s="57"/>
      <c r="Q29" s="63"/>
      <c r="R29" s="47"/>
      <c r="S29" s="50"/>
    </row>
    <row r="30" spans="1:19" ht="15" customHeight="1" x14ac:dyDescent="0.4">
      <c r="A30">
        <f t="shared" si="0"/>
        <v>29</v>
      </c>
      <c r="B30" s="40" t="s">
        <v>605</v>
      </c>
      <c r="C30" s="51" t="s">
        <v>783</v>
      </c>
      <c r="D30" s="52" t="s">
        <v>742</v>
      </c>
      <c r="E30" s="52" t="s">
        <v>784</v>
      </c>
      <c r="F30" s="52" t="s">
        <v>785</v>
      </c>
      <c r="G30" s="52" t="s">
        <v>786</v>
      </c>
      <c r="H30" s="53" t="s">
        <v>787</v>
      </c>
      <c r="I30" s="52" t="s">
        <v>757</v>
      </c>
      <c r="J30" s="52" t="s">
        <v>704</v>
      </c>
      <c r="K30" s="44" t="s">
        <v>614</v>
      </c>
      <c r="L30" s="52" t="s">
        <v>615</v>
      </c>
      <c r="M30" s="45"/>
      <c r="N30" s="46"/>
      <c r="O30" s="47"/>
      <c r="P30" s="72"/>
      <c r="Q30" s="63"/>
      <c r="R30" s="47"/>
      <c r="S30" s="50"/>
    </row>
    <row r="31" spans="1:19" ht="15" customHeight="1" x14ac:dyDescent="0.4">
      <c r="A31">
        <f t="shared" si="0"/>
        <v>30</v>
      </c>
      <c r="B31" s="40" t="s">
        <v>605</v>
      </c>
      <c r="C31" s="51" t="s">
        <v>788</v>
      </c>
      <c r="D31" s="53" t="s">
        <v>742</v>
      </c>
      <c r="E31" s="53" t="s">
        <v>789</v>
      </c>
      <c r="F31" s="53" t="s">
        <v>790</v>
      </c>
      <c r="G31" s="53" t="s">
        <v>791</v>
      </c>
      <c r="H31" s="59" t="s">
        <v>792</v>
      </c>
      <c r="I31" s="52" t="s">
        <v>649</v>
      </c>
      <c r="J31" s="52" t="s">
        <v>751</v>
      </c>
      <c r="K31" s="54" t="s">
        <v>614</v>
      </c>
      <c r="L31" s="52" t="s">
        <v>615</v>
      </c>
      <c r="M31" s="45"/>
      <c r="N31" s="46"/>
      <c r="O31" s="47"/>
      <c r="P31" s="47"/>
      <c r="Q31" s="48"/>
      <c r="R31" s="49"/>
      <c r="S31" s="50"/>
    </row>
    <row r="32" spans="1:19" ht="15" customHeight="1" x14ac:dyDescent="0.4">
      <c r="A32">
        <f t="shared" si="0"/>
        <v>31</v>
      </c>
      <c r="B32" s="40" t="s">
        <v>605</v>
      </c>
      <c r="C32" s="51" t="s">
        <v>793</v>
      </c>
      <c r="D32" s="53" t="s">
        <v>794</v>
      </c>
      <c r="E32" s="53" t="s">
        <v>795</v>
      </c>
      <c r="F32" s="53" t="s">
        <v>796</v>
      </c>
      <c r="G32" s="53" t="s">
        <v>797</v>
      </c>
      <c r="H32" s="53" t="s">
        <v>798</v>
      </c>
      <c r="I32" s="52" t="s">
        <v>799</v>
      </c>
      <c r="J32" s="53" t="s">
        <v>751</v>
      </c>
      <c r="K32" s="54" t="s">
        <v>614</v>
      </c>
      <c r="L32" s="52" t="s">
        <v>615</v>
      </c>
      <c r="M32" s="45"/>
      <c r="N32" s="46"/>
      <c r="O32" s="47"/>
      <c r="P32" s="47"/>
      <c r="Q32" s="48"/>
      <c r="R32" s="49"/>
      <c r="S32" s="50"/>
    </row>
    <row r="33" spans="1:19" ht="15" customHeight="1" x14ac:dyDescent="0.4">
      <c r="A33">
        <f t="shared" si="0"/>
        <v>32</v>
      </c>
      <c r="B33" s="40" t="s">
        <v>605</v>
      </c>
      <c r="C33" s="84" t="s">
        <v>800</v>
      </c>
      <c r="D33" s="85" t="s">
        <v>801</v>
      </c>
      <c r="E33" s="85" t="s">
        <v>802</v>
      </c>
      <c r="F33" s="85" t="s">
        <v>803</v>
      </c>
      <c r="G33" s="85" t="s">
        <v>804</v>
      </c>
      <c r="H33" s="86" t="s">
        <v>805</v>
      </c>
      <c r="I33" s="87" t="s">
        <v>683</v>
      </c>
      <c r="J33" s="87" t="s">
        <v>650</v>
      </c>
      <c r="K33" s="54" t="s">
        <v>614</v>
      </c>
      <c r="L33" s="88" t="s">
        <v>643</v>
      </c>
      <c r="M33" s="89"/>
      <c r="N33" s="46"/>
      <c r="O33" s="47"/>
      <c r="P33" s="57"/>
      <c r="Q33" s="63"/>
      <c r="R33" s="68"/>
      <c r="S33" s="50"/>
    </row>
    <row r="34" spans="1:19" ht="15" customHeight="1" x14ac:dyDescent="0.4">
      <c r="A34">
        <f t="shared" si="0"/>
        <v>33</v>
      </c>
      <c r="B34" s="40" t="s">
        <v>605</v>
      </c>
      <c r="C34" s="51" t="s">
        <v>806</v>
      </c>
      <c r="D34" s="52" t="s">
        <v>807</v>
      </c>
      <c r="E34" s="52" t="s">
        <v>808</v>
      </c>
      <c r="F34" s="52" t="s">
        <v>809</v>
      </c>
      <c r="G34" s="52" t="s">
        <v>810</v>
      </c>
      <c r="H34" s="82" t="s">
        <v>811</v>
      </c>
      <c r="I34" s="52" t="s">
        <v>812</v>
      </c>
      <c r="J34" s="52" t="s">
        <v>813</v>
      </c>
      <c r="K34" s="54" t="s">
        <v>614</v>
      </c>
      <c r="L34" s="52" t="s">
        <v>615</v>
      </c>
      <c r="M34" s="45"/>
      <c r="N34" s="46"/>
      <c r="O34" s="47"/>
      <c r="P34" s="57"/>
      <c r="Q34" s="63"/>
      <c r="R34" s="47"/>
      <c r="S34" s="50"/>
    </row>
    <row r="35" spans="1:19" ht="15" customHeight="1" x14ac:dyDescent="0.4">
      <c r="A35">
        <f t="shared" si="0"/>
        <v>34</v>
      </c>
      <c r="B35" s="40" t="s">
        <v>605</v>
      </c>
      <c r="C35" s="51" t="s">
        <v>814</v>
      </c>
      <c r="D35" s="52" t="s">
        <v>807</v>
      </c>
      <c r="E35" s="52" t="s">
        <v>815</v>
      </c>
      <c r="F35" s="52" t="s">
        <v>816</v>
      </c>
      <c r="G35" s="52" t="s">
        <v>817</v>
      </c>
      <c r="H35" s="60" t="s">
        <v>818</v>
      </c>
      <c r="I35" s="42" t="s">
        <v>649</v>
      </c>
      <c r="J35" s="42" t="s">
        <v>684</v>
      </c>
      <c r="K35" s="44" t="s">
        <v>614</v>
      </c>
      <c r="L35" s="52" t="s">
        <v>615</v>
      </c>
      <c r="M35" s="62"/>
      <c r="N35" s="46"/>
      <c r="O35" s="47"/>
      <c r="P35" s="57"/>
      <c r="Q35" s="63"/>
      <c r="R35" s="47"/>
      <c r="S35" s="50"/>
    </row>
    <row r="36" spans="1:19" ht="15" customHeight="1" x14ac:dyDescent="0.4">
      <c r="A36">
        <f t="shared" si="0"/>
        <v>35</v>
      </c>
      <c r="B36" s="40" t="s">
        <v>605</v>
      </c>
      <c r="C36" s="41" t="s">
        <v>819</v>
      </c>
      <c r="D36" s="42" t="s">
        <v>820</v>
      </c>
      <c r="E36" s="42" t="s">
        <v>821</v>
      </c>
      <c r="F36" s="42" t="s">
        <v>822</v>
      </c>
      <c r="G36" s="42" t="s">
        <v>823</v>
      </c>
      <c r="H36" s="90" t="s">
        <v>824</v>
      </c>
      <c r="I36" s="42" t="s">
        <v>720</v>
      </c>
      <c r="J36" s="42" t="s">
        <v>825</v>
      </c>
      <c r="K36" s="54" t="s">
        <v>614</v>
      </c>
      <c r="L36" s="42" t="s">
        <v>615</v>
      </c>
      <c r="M36" s="45"/>
      <c r="N36" s="46"/>
      <c r="O36" s="47"/>
      <c r="P36" s="72"/>
      <c r="Q36" s="58"/>
      <c r="R36" s="47"/>
      <c r="S36" s="50"/>
    </row>
    <row r="37" spans="1:19" ht="15" customHeight="1" x14ac:dyDescent="0.4">
      <c r="A37">
        <f t="shared" si="0"/>
        <v>36</v>
      </c>
      <c r="B37" s="40" t="s">
        <v>605</v>
      </c>
      <c r="C37" s="51" t="s">
        <v>286</v>
      </c>
      <c r="D37" s="52" t="s">
        <v>826</v>
      </c>
      <c r="E37" s="52" t="s">
        <v>827</v>
      </c>
      <c r="F37" s="52" t="s">
        <v>828</v>
      </c>
      <c r="G37" s="52" t="s">
        <v>829</v>
      </c>
      <c r="H37" s="83" t="s">
        <v>51</v>
      </c>
      <c r="I37" s="53" t="s">
        <v>830</v>
      </c>
      <c r="J37" s="52" t="s">
        <v>778</v>
      </c>
      <c r="K37" s="54" t="s">
        <v>614</v>
      </c>
      <c r="L37" s="52" t="s">
        <v>615</v>
      </c>
      <c r="M37" s="45"/>
      <c r="N37" s="46"/>
      <c r="O37" s="47"/>
      <c r="P37" s="72"/>
      <c r="Q37" s="63"/>
      <c r="R37" s="47"/>
      <c r="S37" s="50"/>
    </row>
    <row r="38" spans="1:19" ht="15" customHeight="1" x14ac:dyDescent="0.4">
      <c r="A38">
        <f t="shared" si="0"/>
        <v>37</v>
      </c>
      <c r="B38" s="40" t="s">
        <v>605</v>
      </c>
      <c r="C38" s="51" t="s">
        <v>831</v>
      </c>
      <c r="D38" s="52" t="s">
        <v>832</v>
      </c>
      <c r="E38" s="52" t="s">
        <v>716</v>
      </c>
      <c r="F38" s="52" t="s">
        <v>833</v>
      </c>
      <c r="G38" s="52" t="s">
        <v>834</v>
      </c>
      <c r="H38" s="60" t="s">
        <v>835</v>
      </c>
      <c r="I38" s="52" t="s">
        <v>720</v>
      </c>
      <c r="J38" s="52" t="s">
        <v>836</v>
      </c>
      <c r="K38" s="53" t="s">
        <v>614</v>
      </c>
      <c r="L38" s="52" t="s">
        <v>615</v>
      </c>
      <c r="M38" s="45"/>
      <c r="N38" s="46"/>
      <c r="O38" s="47"/>
      <c r="P38" s="47"/>
      <c r="Q38" s="48"/>
      <c r="R38" s="49"/>
      <c r="S38" s="50"/>
    </row>
    <row r="39" spans="1:19" ht="15" customHeight="1" x14ac:dyDescent="0.4">
      <c r="A39">
        <f t="shared" si="0"/>
        <v>38</v>
      </c>
      <c r="B39" s="40" t="s">
        <v>605</v>
      </c>
      <c r="C39" s="51" t="s">
        <v>837</v>
      </c>
      <c r="D39" s="53" t="s">
        <v>832</v>
      </c>
      <c r="E39" s="53" t="s">
        <v>838</v>
      </c>
      <c r="F39" s="53" t="s">
        <v>839</v>
      </c>
      <c r="G39" s="53" t="s">
        <v>840</v>
      </c>
      <c r="H39" s="60" t="s">
        <v>841</v>
      </c>
      <c r="I39" s="53" t="s">
        <v>683</v>
      </c>
      <c r="J39" s="52" t="s">
        <v>613</v>
      </c>
      <c r="K39" s="54" t="s">
        <v>614</v>
      </c>
      <c r="L39" s="52" t="s">
        <v>615</v>
      </c>
      <c r="M39" s="56"/>
      <c r="N39" s="46"/>
      <c r="O39" s="47"/>
      <c r="P39" s="57"/>
      <c r="Q39" s="63"/>
      <c r="R39" s="68"/>
      <c r="S39" s="81"/>
    </row>
    <row r="40" spans="1:19" ht="15" customHeight="1" x14ac:dyDescent="0.4">
      <c r="A40">
        <f t="shared" si="0"/>
        <v>39</v>
      </c>
      <c r="B40" s="40" t="s">
        <v>605</v>
      </c>
      <c r="C40" s="41" t="s">
        <v>842</v>
      </c>
      <c r="D40" s="52" t="s">
        <v>832</v>
      </c>
      <c r="E40" s="42" t="s">
        <v>843</v>
      </c>
      <c r="F40" s="42" t="s">
        <v>844</v>
      </c>
      <c r="G40" s="42" t="s">
        <v>845</v>
      </c>
      <c r="H40" s="59" t="s">
        <v>846</v>
      </c>
      <c r="I40" s="42" t="s">
        <v>649</v>
      </c>
      <c r="J40" s="42" t="s">
        <v>676</v>
      </c>
      <c r="K40" s="54" t="s">
        <v>614</v>
      </c>
      <c r="L40" s="52" t="s">
        <v>615</v>
      </c>
      <c r="M40" s="45"/>
      <c r="N40" s="46"/>
      <c r="O40" s="47"/>
      <c r="P40" s="47"/>
      <c r="Q40" s="48"/>
      <c r="R40" s="49"/>
      <c r="S40" s="91"/>
    </row>
    <row r="41" spans="1:19" ht="15" customHeight="1" x14ac:dyDescent="0.4">
      <c r="A41">
        <f t="shared" si="0"/>
        <v>40</v>
      </c>
      <c r="B41" s="40" t="s">
        <v>605</v>
      </c>
      <c r="C41" s="51" t="s">
        <v>847</v>
      </c>
      <c r="D41" s="52" t="s">
        <v>832</v>
      </c>
      <c r="E41" s="52" t="s">
        <v>848</v>
      </c>
      <c r="F41" s="52" t="s">
        <v>849</v>
      </c>
      <c r="G41" s="52" t="s">
        <v>850</v>
      </c>
      <c r="H41" s="60" t="s">
        <v>851</v>
      </c>
      <c r="I41" s="52" t="s">
        <v>641</v>
      </c>
      <c r="J41" s="52" t="s">
        <v>735</v>
      </c>
      <c r="K41" s="54" t="s">
        <v>614</v>
      </c>
      <c r="L41" s="52" t="s">
        <v>643</v>
      </c>
      <c r="M41" s="56"/>
      <c r="N41" s="46"/>
      <c r="O41" s="47"/>
      <c r="P41" s="72"/>
      <c r="Q41" s="63"/>
      <c r="R41" s="47"/>
      <c r="S41" s="92"/>
    </row>
    <row r="42" spans="1:19" ht="15" customHeight="1" x14ac:dyDescent="0.4">
      <c r="A42">
        <f t="shared" si="0"/>
        <v>41</v>
      </c>
      <c r="B42" s="40" t="s">
        <v>605</v>
      </c>
      <c r="C42" s="51" t="s">
        <v>380</v>
      </c>
      <c r="D42" s="52" t="s">
        <v>832</v>
      </c>
      <c r="E42" s="52" t="s">
        <v>852</v>
      </c>
      <c r="F42" s="52" t="s">
        <v>853</v>
      </c>
      <c r="G42" s="52" t="s">
        <v>854</v>
      </c>
      <c r="H42" s="53" t="s">
        <v>197</v>
      </c>
      <c r="I42" s="52" t="s">
        <v>641</v>
      </c>
      <c r="J42" s="52" t="s">
        <v>778</v>
      </c>
      <c r="K42" s="54" t="s">
        <v>614</v>
      </c>
      <c r="L42" s="52" t="s">
        <v>615</v>
      </c>
      <c r="M42" s="45"/>
      <c r="N42" s="46"/>
      <c r="O42" s="47"/>
      <c r="P42" s="47"/>
      <c r="Q42" s="48"/>
      <c r="R42" s="49"/>
      <c r="S42" s="50"/>
    </row>
    <row r="43" spans="1:19" ht="15" customHeight="1" x14ac:dyDescent="0.4">
      <c r="A43">
        <f t="shared" si="0"/>
        <v>42</v>
      </c>
      <c r="B43" s="40" t="s">
        <v>605</v>
      </c>
      <c r="C43" s="41" t="s">
        <v>855</v>
      </c>
      <c r="D43" s="42" t="s">
        <v>856</v>
      </c>
      <c r="E43" s="42" t="s">
        <v>857</v>
      </c>
      <c r="F43" s="42" t="s">
        <v>858</v>
      </c>
      <c r="G43" s="42" t="s">
        <v>859</v>
      </c>
      <c r="H43" s="82" t="s">
        <v>860</v>
      </c>
      <c r="I43" s="42" t="s">
        <v>861</v>
      </c>
      <c r="J43" s="42" t="s">
        <v>623</v>
      </c>
      <c r="K43" s="54" t="s">
        <v>614</v>
      </c>
      <c r="L43" s="52" t="s">
        <v>615</v>
      </c>
      <c r="M43" s="80"/>
      <c r="N43" s="46"/>
      <c r="O43" s="47"/>
      <c r="P43" s="57"/>
      <c r="Q43" s="58"/>
      <c r="R43" s="47"/>
      <c r="S43" s="81"/>
    </row>
    <row r="44" spans="1:19" ht="15" customHeight="1" x14ac:dyDescent="0.4">
      <c r="A44">
        <f t="shared" si="0"/>
        <v>43</v>
      </c>
      <c r="B44" s="40" t="s">
        <v>605</v>
      </c>
      <c r="C44" s="51" t="s">
        <v>862</v>
      </c>
      <c r="D44" s="52" t="s">
        <v>863</v>
      </c>
      <c r="E44" s="52" t="s">
        <v>864</v>
      </c>
      <c r="F44" s="52" t="s">
        <v>865</v>
      </c>
      <c r="G44" s="52" t="s">
        <v>866</v>
      </c>
      <c r="H44" s="53" t="s">
        <v>867</v>
      </c>
      <c r="I44" s="52" t="s">
        <v>768</v>
      </c>
      <c r="J44" s="52" t="s">
        <v>704</v>
      </c>
      <c r="K44" s="53" t="s">
        <v>614</v>
      </c>
      <c r="L44" s="52" t="s">
        <v>615</v>
      </c>
      <c r="M44" s="45"/>
      <c r="N44" s="46"/>
      <c r="O44" s="47"/>
      <c r="P44" s="47"/>
      <c r="Q44" s="48"/>
      <c r="R44" s="49"/>
      <c r="S44" s="50"/>
    </row>
    <row r="45" spans="1:19" ht="15" customHeight="1" x14ac:dyDescent="0.4">
      <c r="A45">
        <f t="shared" si="0"/>
        <v>44</v>
      </c>
      <c r="B45" s="40" t="s">
        <v>605</v>
      </c>
      <c r="C45" s="51" t="s">
        <v>868</v>
      </c>
      <c r="D45" s="52" t="s">
        <v>869</v>
      </c>
      <c r="E45" s="52" t="s">
        <v>870</v>
      </c>
      <c r="F45" s="52" t="s">
        <v>871</v>
      </c>
      <c r="G45" s="52" t="s">
        <v>872</v>
      </c>
      <c r="H45" s="53" t="s">
        <v>873</v>
      </c>
      <c r="I45" s="53" t="s">
        <v>683</v>
      </c>
      <c r="J45" s="52" t="s">
        <v>704</v>
      </c>
      <c r="K45" s="54" t="s">
        <v>614</v>
      </c>
      <c r="L45" s="52" t="s">
        <v>643</v>
      </c>
      <c r="M45" s="80"/>
      <c r="N45" s="46"/>
      <c r="O45" s="47"/>
      <c r="P45" s="57"/>
      <c r="Q45" s="58"/>
      <c r="R45" s="47"/>
      <c r="S45" s="50"/>
    </row>
    <row r="46" spans="1:19" ht="15" customHeight="1" x14ac:dyDescent="0.4">
      <c r="A46">
        <f t="shared" si="0"/>
        <v>45</v>
      </c>
      <c r="B46" s="40" t="s">
        <v>605</v>
      </c>
      <c r="C46" s="51" t="s">
        <v>874</v>
      </c>
      <c r="D46" s="52" t="s">
        <v>875</v>
      </c>
      <c r="E46" s="52" t="s">
        <v>876</v>
      </c>
      <c r="F46" s="52" t="s">
        <v>877</v>
      </c>
      <c r="G46" s="52" t="s">
        <v>878</v>
      </c>
      <c r="H46" s="60" t="s">
        <v>879</v>
      </c>
      <c r="I46" s="52" t="s">
        <v>649</v>
      </c>
      <c r="J46" s="52" t="s">
        <v>751</v>
      </c>
      <c r="K46" s="44" t="s">
        <v>614</v>
      </c>
      <c r="L46" s="52" t="s">
        <v>615</v>
      </c>
      <c r="M46" s="45"/>
      <c r="N46" s="46"/>
      <c r="O46" s="47"/>
      <c r="P46" s="47"/>
      <c r="Q46" s="48"/>
      <c r="R46" s="49"/>
      <c r="S46" s="50"/>
    </row>
    <row r="47" spans="1:19" ht="15" customHeight="1" x14ac:dyDescent="0.4">
      <c r="A47">
        <f t="shared" si="0"/>
        <v>46</v>
      </c>
      <c r="B47" s="40" t="s">
        <v>605</v>
      </c>
      <c r="C47" s="51" t="s">
        <v>880</v>
      </c>
      <c r="D47" s="52" t="s">
        <v>881</v>
      </c>
      <c r="E47" s="52" t="s">
        <v>882</v>
      </c>
      <c r="F47" s="52" t="s">
        <v>883</v>
      </c>
      <c r="G47" s="52" t="s">
        <v>884</v>
      </c>
      <c r="H47" s="82" t="s">
        <v>885</v>
      </c>
      <c r="I47" s="52" t="s">
        <v>656</v>
      </c>
      <c r="J47" s="52" t="s">
        <v>825</v>
      </c>
      <c r="K47" s="54" t="s">
        <v>614</v>
      </c>
      <c r="L47" s="52" t="s">
        <v>615</v>
      </c>
      <c r="M47" s="45"/>
      <c r="N47" s="46"/>
      <c r="O47" s="47"/>
      <c r="P47" s="47"/>
      <c r="Q47" s="48"/>
      <c r="R47" s="49"/>
      <c r="S47" s="50"/>
    </row>
    <row r="48" spans="1:19" ht="15" customHeight="1" x14ac:dyDescent="0.4">
      <c r="A48">
        <f t="shared" si="0"/>
        <v>47</v>
      </c>
      <c r="B48" s="40" t="s">
        <v>605</v>
      </c>
      <c r="C48" s="51" t="s">
        <v>886</v>
      </c>
      <c r="D48" s="52" t="s">
        <v>881</v>
      </c>
      <c r="E48" s="52" t="s">
        <v>887</v>
      </c>
      <c r="F48" s="52" t="s">
        <v>888</v>
      </c>
      <c r="G48" s="52" t="s">
        <v>889</v>
      </c>
      <c r="H48" s="82" t="s">
        <v>890</v>
      </c>
      <c r="I48" s="52" t="s">
        <v>630</v>
      </c>
      <c r="J48" s="52" t="s">
        <v>751</v>
      </c>
      <c r="K48" s="54" t="s">
        <v>614</v>
      </c>
      <c r="L48" s="52" t="s">
        <v>615</v>
      </c>
      <c r="M48" s="45"/>
      <c r="N48" s="46"/>
      <c r="O48" s="47"/>
      <c r="P48" s="57"/>
      <c r="Q48" s="63"/>
      <c r="R48" s="68"/>
      <c r="S48" s="81"/>
    </row>
    <row r="49" spans="1:20" ht="15" customHeight="1" x14ac:dyDescent="0.4">
      <c r="A49">
        <f t="shared" si="0"/>
        <v>48</v>
      </c>
      <c r="B49" s="40" t="s">
        <v>605</v>
      </c>
      <c r="C49" s="41" t="s">
        <v>891</v>
      </c>
      <c r="D49" s="42" t="s">
        <v>881</v>
      </c>
      <c r="E49" s="42" t="s">
        <v>892</v>
      </c>
      <c r="F49" s="42" t="s">
        <v>893</v>
      </c>
      <c r="G49" s="42" t="s">
        <v>894</v>
      </c>
      <c r="H49" s="61" t="s">
        <v>895</v>
      </c>
      <c r="I49" s="42" t="s">
        <v>861</v>
      </c>
      <c r="J49" s="42" t="s">
        <v>631</v>
      </c>
      <c r="K49" s="54" t="s">
        <v>614</v>
      </c>
      <c r="L49" s="42" t="s">
        <v>615</v>
      </c>
      <c r="M49" s="45"/>
      <c r="N49" s="46"/>
      <c r="O49" s="47"/>
      <c r="P49" s="72"/>
      <c r="Q49" s="63"/>
      <c r="R49" s="47"/>
      <c r="S49" s="81"/>
    </row>
    <row r="50" spans="1:20" ht="15" customHeight="1" x14ac:dyDescent="0.4">
      <c r="A50">
        <f t="shared" si="0"/>
        <v>49</v>
      </c>
      <c r="B50" s="40" t="s">
        <v>605</v>
      </c>
      <c r="C50" s="41" t="s">
        <v>896</v>
      </c>
      <c r="D50" s="52" t="s">
        <v>897</v>
      </c>
      <c r="E50" s="42" t="s">
        <v>898</v>
      </c>
      <c r="F50" s="42" t="s">
        <v>899</v>
      </c>
      <c r="G50" s="42" t="s">
        <v>900</v>
      </c>
      <c r="H50" s="59" t="s">
        <v>901</v>
      </c>
      <c r="I50" s="42" t="s">
        <v>703</v>
      </c>
      <c r="J50" s="42" t="s">
        <v>637</v>
      </c>
      <c r="K50" s="54" t="s">
        <v>614</v>
      </c>
      <c r="L50" s="52" t="s">
        <v>615</v>
      </c>
      <c r="M50" s="62"/>
      <c r="N50" s="46"/>
      <c r="O50" s="47"/>
      <c r="P50" s="47"/>
      <c r="Q50" s="48"/>
      <c r="R50" s="49"/>
      <c r="S50" s="50"/>
    </row>
    <row r="51" spans="1:20" ht="15" customHeight="1" x14ac:dyDescent="0.4">
      <c r="A51">
        <f t="shared" si="0"/>
        <v>50</v>
      </c>
      <c r="B51" s="40" t="s">
        <v>605</v>
      </c>
      <c r="C51" s="51" t="s">
        <v>902</v>
      </c>
      <c r="D51" s="52" t="s">
        <v>903</v>
      </c>
      <c r="E51" s="52" t="s">
        <v>904</v>
      </c>
      <c r="F51" s="52" t="s">
        <v>905</v>
      </c>
      <c r="G51" s="52" t="s">
        <v>906</v>
      </c>
      <c r="H51" s="59" t="s">
        <v>907</v>
      </c>
      <c r="I51" s="93" t="s">
        <v>630</v>
      </c>
      <c r="J51" s="93" t="s">
        <v>751</v>
      </c>
      <c r="K51" s="53" t="s">
        <v>614</v>
      </c>
      <c r="L51" s="93" t="s">
        <v>615</v>
      </c>
      <c r="M51" s="94"/>
      <c r="N51" s="46"/>
      <c r="O51" s="47"/>
      <c r="P51" s="47"/>
      <c r="Q51" s="48"/>
      <c r="R51" s="49"/>
      <c r="S51" s="50"/>
    </row>
    <row r="52" spans="1:20" ht="15" customHeight="1" x14ac:dyDescent="0.4">
      <c r="A52">
        <f t="shared" si="0"/>
        <v>51</v>
      </c>
      <c r="B52" s="40" t="s">
        <v>605</v>
      </c>
      <c r="C52" s="41" t="s">
        <v>908</v>
      </c>
      <c r="D52" s="42" t="s">
        <v>909</v>
      </c>
      <c r="E52" s="42" t="s">
        <v>645</v>
      </c>
      <c r="F52" s="42" t="s">
        <v>910</v>
      </c>
      <c r="G52" s="42" t="s">
        <v>911</v>
      </c>
      <c r="H52" s="79" t="s">
        <v>912</v>
      </c>
      <c r="I52" s="42" t="s">
        <v>913</v>
      </c>
      <c r="J52" s="42" t="s">
        <v>697</v>
      </c>
      <c r="K52" s="44" t="s">
        <v>614</v>
      </c>
      <c r="L52" s="52" t="s">
        <v>615</v>
      </c>
      <c r="M52" s="80"/>
      <c r="N52" s="46"/>
      <c r="O52" s="47"/>
      <c r="P52" s="47"/>
      <c r="Q52" s="48"/>
      <c r="R52" s="49"/>
      <c r="S52" s="50"/>
    </row>
    <row r="53" spans="1:20" ht="15" customHeight="1" x14ac:dyDescent="0.4">
      <c r="A53">
        <f t="shared" si="0"/>
        <v>52</v>
      </c>
      <c r="B53" s="40" t="s">
        <v>605</v>
      </c>
      <c r="C53" s="41" t="s">
        <v>914</v>
      </c>
      <c r="D53" s="42" t="s">
        <v>915</v>
      </c>
      <c r="E53" s="44" t="s">
        <v>916</v>
      </c>
      <c r="F53" s="44" t="s">
        <v>917</v>
      </c>
      <c r="G53" s="44" t="s">
        <v>918</v>
      </c>
      <c r="H53" s="59" t="s">
        <v>919</v>
      </c>
      <c r="I53" s="42" t="s">
        <v>703</v>
      </c>
      <c r="J53" s="42" t="s">
        <v>664</v>
      </c>
      <c r="K53" s="42" t="s">
        <v>614</v>
      </c>
      <c r="L53" s="44" t="s">
        <v>615</v>
      </c>
      <c r="M53" s="80"/>
      <c r="N53" s="46"/>
      <c r="O53" s="47"/>
      <c r="P53" s="57"/>
      <c r="Q53" s="63"/>
      <c r="R53" s="47"/>
      <c r="S53" s="50"/>
    </row>
    <row r="54" spans="1:20" ht="15" customHeight="1" x14ac:dyDescent="0.4">
      <c r="A54">
        <f t="shared" si="0"/>
        <v>53</v>
      </c>
      <c r="B54" s="40" t="s">
        <v>605</v>
      </c>
      <c r="C54" s="51" t="s">
        <v>920</v>
      </c>
      <c r="D54" s="53" t="s">
        <v>921</v>
      </c>
      <c r="E54" s="53" t="s">
        <v>692</v>
      </c>
      <c r="F54" s="53" t="s">
        <v>922</v>
      </c>
      <c r="G54" s="53" t="s">
        <v>923</v>
      </c>
      <c r="H54" s="53" t="s">
        <v>924</v>
      </c>
      <c r="I54" s="52" t="s">
        <v>925</v>
      </c>
      <c r="J54" s="53" t="s">
        <v>751</v>
      </c>
      <c r="K54" s="52" t="s">
        <v>614</v>
      </c>
      <c r="L54" s="52" t="s">
        <v>615</v>
      </c>
      <c r="M54" s="80"/>
      <c r="N54" s="46"/>
      <c r="O54" s="47"/>
      <c r="P54" s="47"/>
      <c r="Q54" s="48"/>
      <c r="R54" s="49"/>
      <c r="S54" s="50"/>
    </row>
    <row r="55" spans="1:20" ht="15" customHeight="1" x14ac:dyDescent="0.4">
      <c r="A55">
        <f t="shared" si="0"/>
        <v>54</v>
      </c>
      <c r="B55" s="40" t="s">
        <v>605</v>
      </c>
      <c r="C55" s="51" t="s">
        <v>926</v>
      </c>
      <c r="D55" s="52" t="s">
        <v>921</v>
      </c>
      <c r="E55" s="52" t="s">
        <v>687</v>
      </c>
      <c r="F55" s="52" t="s">
        <v>927</v>
      </c>
      <c r="G55" s="52" t="s">
        <v>928</v>
      </c>
      <c r="H55" s="53" t="s">
        <v>929</v>
      </c>
      <c r="I55" s="52" t="s">
        <v>799</v>
      </c>
      <c r="J55" s="52" t="s">
        <v>669</v>
      </c>
      <c r="K55" s="52" t="s">
        <v>614</v>
      </c>
      <c r="L55" s="52" t="s">
        <v>615</v>
      </c>
      <c r="M55" s="45"/>
      <c r="N55" s="46"/>
      <c r="O55" s="47"/>
      <c r="P55" s="47"/>
      <c r="Q55" s="48"/>
      <c r="R55" s="49"/>
      <c r="S55" s="50"/>
    </row>
    <row r="56" spans="1:20" ht="15" customHeight="1" x14ac:dyDescent="0.4">
      <c r="A56">
        <f t="shared" si="0"/>
        <v>55</v>
      </c>
      <c r="B56" s="40" t="s">
        <v>605</v>
      </c>
      <c r="C56" s="51" t="s">
        <v>930</v>
      </c>
      <c r="D56" s="52" t="s">
        <v>931</v>
      </c>
      <c r="E56" s="52" t="s">
        <v>932</v>
      </c>
      <c r="F56" s="52" t="s">
        <v>933</v>
      </c>
      <c r="G56" s="52" t="s">
        <v>934</v>
      </c>
      <c r="H56" s="44" t="s">
        <v>935</v>
      </c>
      <c r="I56" s="52" t="s">
        <v>612</v>
      </c>
      <c r="J56" s="52" t="s">
        <v>650</v>
      </c>
      <c r="K56" s="54" t="s">
        <v>614</v>
      </c>
      <c r="L56" s="44" t="s">
        <v>615</v>
      </c>
      <c r="M56" s="45"/>
      <c r="N56" s="46"/>
      <c r="O56" s="47"/>
      <c r="P56" s="47"/>
      <c r="Q56" s="48"/>
      <c r="R56" s="49"/>
      <c r="S56" s="50"/>
    </row>
    <row r="57" spans="1:20" ht="15" customHeight="1" x14ac:dyDescent="0.4">
      <c r="A57">
        <f t="shared" si="0"/>
        <v>56</v>
      </c>
      <c r="B57" s="40" t="s">
        <v>605</v>
      </c>
      <c r="C57" s="41" t="s">
        <v>936</v>
      </c>
      <c r="D57" s="52" t="s">
        <v>931</v>
      </c>
      <c r="E57" s="42" t="s">
        <v>937</v>
      </c>
      <c r="F57" s="42" t="s">
        <v>938</v>
      </c>
      <c r="G57" s="42" t="s">
        <v>939</v>
      </c>
      <c r="H57" s="59" t="s">
        <v>940</v>
      </c>
      <c r="I57" s="42" t="s">
        <v>656</v>
      </c>
      <c r="J57" s="42" t="s">
        <v>721</v>
      </c>
      <c r="K57" s="44" t="s">
        <v>614</v>
      </c>
      <c r="L57" s="52" t="s">
        <v>615</v>
      </c>
      <c r="M57" s="45"/>
      <c r="N57" s="46"/>
      <c r="O57" s="47"/>
      <c r="P57" s="47"/>
      <c r="Q57" s="48"/>
      <c r="R57" s="49"/>
      <c r="S57" s="50"/>
    </row>
    <row r="58" spans="1:20" ht="15" customHeight="1" x14ac:dyDescent="0.4">
      <c r="A58">
        <f t="shared" si="0"/>
        <v>57</v>
      </c>
      <c r="B58" s="40" t="s">
        <v>605</v>
      </c>
      <c r="C58" s="51" t="s">
        <v>941</v>
      </c>
      <c r="D58" s="52" t="s">
        <v>942</v>
      </c>
      <c r="E58" s="52" t="s">
        <v>711</v>
      </c>
      <c r="F58" s="52" t="s">
        <v>917</v>
      </c>
      <c r="G58" s="52" t="s">
        <v>943</v>
      </c>
      <c r="H58" s="53" t="s">
        <v>944</v>
      </c>
      <c r="I58" s="52" t="s">
        <v>649</v>
      </c>
      <c r="J58" s="52" t="s">
        <v>637</v>
      </c>
      <c r="K58" s="54" t="s">
        <v>614</v>
      </c>
      <c r="L58" s="44" t="s">
        <v>615</v>
      </c>
      <c r="M58" s="45"/>
      <c r="N58" s="46"/>
      <c r="O58" s="47"/>
      <c r="P58" s="57"/>
      <c r="Q58" s="63"/>
      <c r="R58" s="47"/>
      <c r="S58" s="50"/>
    </row>
    <row r="59" spans="1:20" ht="15" customHeight="1" x14ac:dyDescent="0.4">
      <c r="A59">
        <f t="shared" si="0"/>
        <v>58</v>
      </c>
      <c r="B59" s="40" t="s">
        <v>605</v>
      </c>
      <c r="C59" s="41" t="s">
        <v>945</v>
      </c>
      <c r="D59" s="42" t="s">
        <v>946</v>
      </c>
      <c r="E59" s="42" t="s">
        <v>947</v>
      </c>
      <c r="F59" s="42" t="s">
        <v>948</v>
      </c>
      <c r="G59" s="42" t="s">
        <v>949</v>
      </c>
      <c r="H59" s="59" t="s">
        <v>950</v>
      </c>
      <c r="I59" s="52" t="s">
        <v>720</v>
      </c>
      <c r="J59" s="53" t="s">
        <v>825</v>
      </c>
      <c r="K59" s="52" t="s">
        <v>614</v>
      </c>
      <c r="L59" s="52" t="s">
        <v>615</v>
      </c>
      <c r="M59" s="45"/>
      <c r="N59" s="46"/>
      <c r="O59" s="47"/>
      <c r="P59" s="72"/>
      <c r="Q59" s="58"/>
      <c r="R59" s="47"/>
      <c r="S59" s="81"/>
    </row>
    <row r="60" spans="1:20" ht="15" customHeight="1" x14ac:dyDescent="0.4">
      <c r="A60">
        <f t="shared" si="0"/>
        <v>59</v>
      </c>
      <c r="B60" s="40" t="s">
        <v>605</v>
      </c>
      <c r="C60" s="51" t="s">
        <v>461</v>
      </c>
      <c r="D60" s="52" t="s">
        <v>951</v>
      </c>
      <c r="E60" s="52" t="s">
        <v>952</v>
      </c>
      <c r="F60" s="52" t="s">
        <v>953</v>
      </c>
      <c r="G60" s="52" t="s">
        <v>954</v>
      </c>
      <c r="H60" s="53" t="s">
        <v>157</v>
      </c>
      <c r="I60" s="52" t="s">
        <v>734</v>
      </c>
      <c r="J60" s="52" t="s">
        <v>778</v>
      </c>
      <c r="K60" s="54" t="s">
        <v>614</v>
      </c>
      <c r="L60" s="52" t="s">
        <v>643</v>
      </c>
      <c r="M60" s="45"/>
      <c r="N60" s="46"/>
      <c r="O60" s="95"/>
      <c r="P60" s="57"/>
      <c r="Q60" s="58"/>
      <c r="R60" s="68"/>
      <c r="S60" s="81"/>
    </row>
    <row r="61" spans="1:20" ht="15" customHeight="1" x14ac:dyDescent="0.4">
      <c r="A61">
        <f t="shared" si="0"/>
        <v>60</v>
      </c>
      <c r="B61" s="40" t="s">
        <v>605</v>
      </c>
      <c r="C61" s="41" t="s">
        <v>955</v>
      </c>
      <c r="D61" s="52" t="s">
        <v>956</v>
      </c>
      <c r="E61" s="42" t="s">
        <v>957</v>
      </c>
      <c r="F61" s="42" t="s">
        <v>958</v>
      </c>
      <c r="G61" s="42" t="s">
        <v>959</v>
      </c>
      <c r="H61" s="59" t="s">
        <v>960</v>
      </c>
      <c r="I61" s="42" t="s">
        <v>649</v>
      </c>
      <c r="J61" s="42" t="s">
        <v>623</v>
      </c>
      <c r="K61" s="44" t="s">
        <v>614</v>
      </c>
      <c r="L61" s="52" t="s">
        <v>615</v>
      </c>
      <c r="M61" s="45"/>
      <c r="N61" s="46"/>
      <c r="O61" s="47"/>
      <c r="P61" s="47"/>
      <c r="Q61" s="48"/>
      <c r="R61" s="49"/>
      <c r="S61" s="50"/>
    </row>
    <row r="62" spans="1:20" ht="15" customHeight="1" x14ac:dyDescent="0.4">
      <c r="A62">
        <f t="shared" si="0"/>
        <v>61</v>
      </c>
      <c r="B62" s="40" t="s">
        <v>605</v>
      </c>
      <c r="C62" s="51" t="s">
        <v>961</v>
      </c>
      <c r="D62" s="52" t="s">
        <v>962</v>
      </c>
      <c r="E62" s="52" t="s">
        <v>963</v>
      </c>
      <c r="F62" s="52" t="s">
        <v>964</v>
      </c>
      <c r="G62" s="52" t="s">
        <v>965</v>
      </c>
      <c r="H62" s="53" t="s">
        <v>966</v>
      </c>
      <c r="I62" s="53" t="s">
        <v>703</v>
      </c>
      <c r="J62" s="52" t="s">
        <v>669</v>
      </c>
      <c r="K62" s="54" t="s">
        <v>614</v>
      </c>
      <c r="L62" s="44" t="s">
        <v>615</v>
      </c>
      <c r="M62" s="80"/>
      <c r="N62" s="46"/>
      <c r="O62" s="47"/>
      <c r="P62" s="57"/>
      <c r="Q62" s="58"/>
      <c r="R62" s="47"/>
      <c r="S62" s="50"/>
    </row>
    <row r="63" spans="1:20" ht="15" customHeight="1" x14ac:dyDescent="0.4">
      <c r="A63">
        <f t="shared" si="0"/>
        <v>62</v>
      </c>
      <c r="B63" s="40" t="s">
        <v>605</v>
      </c>
      <c r="C63" s="51" t="s">
        <v>967</v>
      </c>
      <c r="D63" s="52" t="s">
        <v>968</v>
      </c>
      <c r="E63" s="52" t="s">
        <v>969</v>
      </c>
      <c r="F63" s="52" t="s">
        <v>970</v>
      </c>
      <c r="G63" s="52" t="s">
        <v>971</v>
      </c>
      <c r="H63" s="53" t="s">
        <v>972</v>
      </c>
      <c r="I63" s="52" t="s">
        <v>649</v>
      </c>
      <c r="J63" s="52" t="s">
        <v>637</v>
      </c>
      <c r="K63" s="44" t="s">
        <v>614</v>
      </c>
      <c r="L63" s="42" t="s">
        <v>615</v>
      </c>
      <c r="M63" s="45"/>
      <c r="N63" s="46"/>
      <c r="O63" s="47"/>
      <c r="P63" s="57"/>
      <c r="Q63" s="96"/>
      <c r="R63" s="47"/>
      <c r="S63" s="50"/>
    </row>
    <row r="64" spans="1:20" ht="15" customHeight="1" x14ac:dyDescent="0.4">
      <c r="A64">
        <f t="shared" si="0"/>
        <v>63</v>
      </c>
      <c r="B64" s="40" t="s">
        <v>605</v>
      </c>
      <c r="C64" s="51" t="s">
        <v>973</v>
      </c>
      <c r="D64" s="53" t="s">
        <v>974</v>
      </c>
      <c r="E64" s="53" t="s">
        <v>975</v>
      </c>
      <c r="F64" s="53" t="s">
        <v>976</v>
      </c>
      <c r="G64" s="53" t="s">
        <v>977</v>
      </c>
      <c r="H64" s="59" t="s">
        <v>978</v>
      </c>
      <c r="I64" s="52" t="s">
        <v>649</v>
      </c>
      <c r="J64" s="52" t="s">
        <v>751</v>
      </c>
      <c r="K64" s="54" t="s">
        <v>614</v>
      </c>
      <c r="L64" s="97" t="s">
        <v>615</v>
      </c>
      <c r="M64" s="45"/>
      <c r="N64" s="46"/>
      <c r="O64" s="47"/>
      <c r="P64" s="57"/>
      <c r="Q64" s="63"/>
      <c r="R64" s="47"/>
      <c r="S64" s="50"/>
      <c r="T64" s="98"/>
    </row>
    <row r="65" spans="1:20" ht="15" customHeight="1" x14ac:dyDescent="0.4">
      <c r="A65">
        <f t="shared" si="0"/>
        <v>64</v>
      </c>
      <c r="B65" s="40" t="s">
        <v>605</v>
      </c>
      <c r="C65" s="41" t="s">
        <v>979</v>
      </c>
      <c r="D65" s="42" t="s">
        <v>980</v>
      </c>
      <c r="E65" s="42" t="s">
        <v>981</v>
      </c>
      <c r="F65" s="42" t="s">
        <v>982</v>
      </c>
      <c r="G65" s="42" t="s">
        <v>983</v>
      </c>
      <c r="H65" s="43" t="s">
        <v>984</v>
      </c>
      <c r="I65" s="42" t="s">
        <v>641</v>
      </c>
      <c r="J65" s="42" t="s">
        <v>637</v>
      </c>
      <c r="K65" s="44" t="s">
        <v>614</v>
      </c>
      <c r="L65" s="44" t="s">
        <v>643</v>
      </c>
      <c r="M65" s="80"/>
      <c r="N65" s="46"/>
      <c r="O65" s="47"/>
      <c r="P65" s="72"/>
      <c r="Q65" s="63"/>
      <c r="R65" s="47"/>
      <c r="S65" s="81"/>
      <c r="T65" s="98"/>
    </row>
    <row r="66" spans="1:20" ht="15" customHeight="1" x14ac:dyDescent="0.4">
      <c r="A66">
        <f t="shared" si="0"/>
        <v>65</v>
      </c>
      <c r="B66" s="40" t="s">
        <v>605</v>
      </c>
      <c r="C66" s="41" t="s">
        <v>985</v>
      </c>
      <c r="D66" s="42" t="s">
        <v>980</v>
      </c>
      <c r="E66" s="42" t="s">
        <v>986</v>
      </c>
      <c r="F66" s="42" t="s">
        <v>987</v>
      </c>
      <c r="G66" s="42" t="s">
        <v>988</v>
      </c>
      <c r="H66" s="43" t="s">
        <v>989</v>
      </c>
      <c r="I66" s="53" t="s">
        <v>774</v>
      </c>
      <c r="J66" s="52" t="s">
        <v>825</v>
      </c>
      <c r="K66" s="54" t="s">
        <v>614</v>
      </c>
      <c r="L66" s="52" t="s">
        <v>643</v>
      </c>
      <c r="M66" s="80"/>
      <c r="N66" s="46"/>
      <c r="O66" s="47"/>
      <c r="P66" s="78"/>
      <c r="Q66" s="63"/>
      <c r="R66" s="47"/>
      <c r="S66" s="81"/>
      <c r="T66" s="98"/>
    </row>
    <row r="67" spans="1:20" x14ac:dyDescent="0.4">
      <c r="A67">
        <f t="shared" si="0"/>
        <v>66</v>
      </c>
      <c r="B67" s="40" t="s">
        <v>605</v>
      </c>
      <c r="C67" s="51" t="s">
        <v>990</v>
      </c>
      <c r="D67" s="52" t="s">
        <v>864</v>
      </c>
      <c r="E67" s="52" t="s">
        <v>975</v>
      </c>
      <c r="F67" s="52" t="s">
        <v>991</v>
      </c>
      <c r="G67" s="52" t="s">
        <v>992</v>
      </c>
      <c r="H67" s="43" t="s">
        <v>993</v>
      </c>
      <c r="I67" s="53" t="s">
        <v>703</v>
      </c>
      <c r="J67" s="53" t="s">
        <v>664</v>
      </c>
      <c r="K67" s="44" t="s">
        <v>614</v>
      </c>
      <c r="L67" s="52" t="s">
        <v>615</v>
      </c>
      <c r="M67" s="45"/>
      <c r="N67" s="46"/>
      <c r="O67" s="47"/>
      <c r="P67" s="57"/>
      <c r="Q67" s="63"/>
      <c r="R67" s="47"/>
      <c r="S67" s="50"/>
    </row>
    <row r="68" spans="1:20" ht="15" customHeight="1" x14ac:dyDescent="0.4">
      <c r="A68">
        <f t="shared" ref="A68:A131" si="1">A67+1</f>
        <v>67</v>
      </c>
      <c r="B68" s="40" t="s">
        <v>605</v>
      </c>
      <c r="C68" s="99" t="s">
        <v>994</v>
      </c>
      <c r="D68" s="100" t="s">
        <v>995</v>
      </c>
      <c r="E68" s="100" t="s">
        <v>832</v>
      </c>
      <c r="F68" s="100" t="s">
        <v>996</v>
      </c>
      <c r="G68" s="100" t="s">
        <v>997</v>
      </c>
      <c r="H68" s="101" t="s">
        <v>998</v>
      </c>
      <c r="I68" s="52" t="s">
        <v>720</v>
      </c>
      <c r="J68" s="52" t="s">
        <v>657</v>
      </c>
      <c r="K68" s="54" t="s">
        <v>614</v>
      </c>
      <c r="L68" s="97" t="s">
        <v>615</v>
      </c>
      <c r="M68" s="45"/>
      <c r="N68" s="46"/>
      <c r="O68" s="47"/>
      <c r="P68" s="57"/>
      <c r="Q68" s="63"/>
      <c r="R68" s="47"/>
      <c r="S68" s="50"/>
    </row>
    <row r="69" spans="1:20" ht="15" customHeight="1" x14ac:dyDescent="0.4">
      <c r="A69">
        <f t="shared" si="1"/>
        <v>68</v>
      </c>
      <c r="B69" s="40" t="s">
        <v>605</v>
      </c>
      <c r="C69" s="51" t="s">
        <v>999</v>
      </c>
      <c r="D69" s="52" t="s">
        <v>995</v>
      </c>
      <c r="E69" s="52" t="s">
        <v>1000</v>
      </c>
      <c r="F69" s="52" t="s">
        <v>1001</v>
      </c>
      <c r="G69" s="52" t="s">
        <v>1002</v>
      </c>
      <c r="H69" s="60" t="s">
        <v>1003</v>
      </c>
      <c r="I69" s="52" t="s">
        <v>649</v>
      </c>
      <c r="J69" s="52" t="s">
        <v>751</v>
      </c>
      <c r="K69" s="52" t="s">
        <v>614</v>
      </c>
      <c r="L69" s="52" t="s">
        <v>615</v>
      </c>
      <c r="M69" s="45"/>
      <c r="N69" s="46"/>
      <c r="O69" s="47"/>
      <c r="P69" s="47"/>
      <c r="Q69" s="48"/>
      <c r="R69" s="49"/>
      <c r="S69" s="50"/>
    </row>
    <row r="70" spans="1:20" ht="15" customHeight="1" x14ac:dyDescent="0.4">
      <c r="A70">
        <f t="shared" si="1"/>
        <v>69</v>
      </c>
      <c r="B70" s="40" t="s">
        <v>605</v>
      </c>
      <c r="C70" s="51" t="s">
        <v>1004</v>
      </c>
      <c r="D70" s="52" t="s">
        <v>1005</v>
      </c>
      <c r="E70" s="52" t="s">
        <v>1006</v>
      </c>
      <c r="F70" s="52" t="s">
        <v>1007</v>
      </c>
      <c r="G70" s="52" t="s">
        <v>1008</v>
      </c>
      <c r="H70" s="59" t="s">
        <v>1009</v>
      </c>
      <c r="I70" s="52" t="s">
        <v>683</v>
      </c>
      <c r="J70" s="52" t="s">
        <v>613</v>
      </c>
      <c r="K70" s="44" t="s">
        <v>614</v>
      </c>
      <c r="L70" s="52" t="s">
        <v>615</v>
      </c>
      <c r="M70" s="56"/>
      <c r="N70" s="46"/>
      <c r="O70" s="47"/>
      <c r="P70" s="72"/>
      <c r="Q70" s="63"/>
      <c r="R70" s="47"/>
      <c r="S70" s="81"/>
    </row>
    <row r="71" spans="1:20" ht="15" customHeight="1" x14ac:dyDescent="0.4">
      <c r="A71">
        <f t="shared" si="1"/>
        <v>70</v>
      </c>
      <c r="B71" s="40" t="s">
        <v>605</v>
      </c>
      <c r="C71" s="51" t="s">
        <v>1010</v>
      </c>
      <c r="D71" s="52" t="s">
        <v>1011</v>
      </c>
      <c r="E71" s="52" t="s">
        <v>1012</v>
      </c>
      <c r="F71" s="52" t="s">
        <v>1013</v>
      </c>
      <c r="G71" s="52" t="s">
        <v>1014</v>
      </c>
      <c r="H71" s="75" t="s">
        <v>1015</v>
      </c>
      <c r="I71" s="76" t="s">
        <v>649</v>
      </c>
      <c r="J71" s="76" t="s">
        <v>676</v>
      </c>
      <c r="K71" s="52" t="s">
        <v>614</v>
      </c>
      <c r="L71" s="76" t="s">
        <v>615</v>
      </c>
      <c r="M71" s="56"/>
      <c r="N71" s="46"/>
      <c r="O71" s="47"/>
      <c r="P71" s="78"/>
      <c r="Q71" s="63"/>
      <c r="R71" s="47"/>
      <c r="S71" s="81"/>
    </row>
    <row r="72" spans="1:20" ht="15" customHeight="1" x14ac:dyDescent="0.4">
      <c r="A72">
        <f t="shared" si="1"/>
        <v>71</v>
      </c>
      <c r="B72" s="40" t="s">
        <v>605</v>
      </c>
      <c r="C72" s="51" t="s">
        <v>1016</v>
      </c>
      <c r="D72" s="52" t="s">
        <v>1011</v>
      </c>
      <c r="E72" s="52" t="s">
        <v>1017</v>
      </c>
      <c r="F72" s="52" t="s">
        <v>1018</v>
      </c>
      <c r="G72" s="52" t="s">
        <v>1019</v>
      </c>
      <c r="H72" s="53" t="s">
        <v>1020</v>
      </c>
      <c r="I72" s="52" t="s">
        <v>703</v>
      </c>
      <c r="J72" s="53" t="s">
        <v>623</v>
      </c>
      <c r="K72" s="44" t="s">
        <v>614</v>
      </c>
      <c r="L72" s="52" t="s">
        <v>615</v>
      </c>
      <c r="M72" s="80"/>
      <c r="N72" s="46"/>
      <c r="O72" s="95"/>
      <c r="P72" s="57"/>
      <c r="Q72" s="63"/>
      <c r="R72" s="47"/>
      <c r="S72" s="91"/>
    </row>
    <row r="73" spans="1:20" ht="15" customHeight="1" x14ac:dyDescent="0.4">
      <c r="A73">
        <f t="shared" si="1"/>
        <v>72</v>
      </c>
      <c r="B73" s="40" t="s">
        <v>605</v>
      </c>
      <c r="C73" s="51" t="s">
        <v>1021</v>
      </c>
      <c r="D73" s="52" t="s">
        <v>1022</v>
      </c>
      <c r="E73" s="52" t="s">
        <v>975</v>
      </c>
      <c r="F73" s="52" t="s">
        <v>1023</v>
      </c>
      <c r="G73" s="52" t="s">
        <v>1024</v>
      </c>
      <c r="H73" s="53" t="s">
        <v>1025</v>
      </c>
      <c r="I73" s="52" t="s">
        <v>1026</v>
      </c>
      <c r="J73" s="52" t="s">
        <v>631</v>
      </c>
      <c r="K73" s="52" t="s">
        <v>614</v>
      </c>
      <c r="L73" s="52" t="s">
        <v>615</v>
      </c>
      <c r="M73" s="45"/>
      <c r="N73" s="102"/>
      <c r="O73" s="49"/>
      <c r="P73" s="49"/>
      <c r="Q73" s="48"/>
      <c r="R73" s="49"/>
      <c r="S73" s="50"/>
    </row>
    <row r="74" spans="1:20" ht="15" customHeight="1" x14ac:dyDescent="0.4">
      <c r="A74">
        <f t="shared" si="1"/>
        <v>73</v>
      </c>
      <c r="B74" s="40" t="s">
        <v>605</v>
      </c>
      <c r="C74" s="51" t="s">
        <v>1027</v>
      </c>
      <c r="D74" s="52" t="s">
        <v>1022</v>
      </c>
      <c r="E74" s="52" t="s">
        <v>1028</v>
      </c>
      <c r="F74" s="52" t="s">
        <v>1029</v>
      </c>
      <c r="G74" s="52" t="s">
        <v>1030</v>
      </c>
      <c r="H74" s="53" t="s">
        <v>1031</v>
      </c>
      <c r="I74" s="52" t="s">
        <v>1032</v>
      </c>
      <c r="J74" s="52" t="s">
        <v>1033</v>
      </c>
      <c r="K74" s="54" t="s">
        <v>614</v>
      </c>
      <c r="L74" s="52" t="s">
        <v>615</v>
      </c>
      <c r="M74" s="45"/>
      <c r="N74" s="46"/>
      <c r="O74" s="47"/>
      <c r="P74" s="47"/>
      <c r="Q74" s="48"/>
      <c r="R74" s="49"/>
      <c r="S74" s="50"/>
    </row>
    <row r="75" spans="1:20" ht="15" customHeight="1" x14ac:dyDescent="0.4">
      <c r="A75">
        <f t="shared" si="1"/>
        <v>74</v>
      </c>
      <c r="B75" s="40" t="s">
        <v>605</v>
      </c>
      <c r="C75" s="51" t="s">
        <v>1034</v>
      </c>
      <c r="D75" s="52" t="s">
        <v>1022</v>
      </c>
      <c r="E75" s="52" t="s">
        <v>1035</v>
      </c>
      <c r="F75" s="52" t="s">
        <v>1036</v>
      </c>
      <c r="G75" s="52" t="s">
        <v>1037</v>
      </c>
      <c r="H75" s="59" t="s">
        <v>1038</v>
      </c>
      <c r="I75" s="52" t="s">
        <v>630</v>
      </c>
      <c r="J75" s="52" t="s">
        <v>613</v>
      </c>
      <c r="K75" s="52" t="s">
        <v>614</v>
      </c>
      <c r="L75" s="52" t="s">
        <v>615</v>
      </c>
      <c r="M75" s="45"/>
      <c r="N75" s="46"/>
      <c r="O75" s="47"/>
      <c r="P75" s="57"/>
      <c r="Q75" s="63"/>
      <c r="R75" s="47"/>
      <c r="S75" s="50"/>
    </row>
    <row r="76" spans="1:20" ht="15" customHeight="1" x14ac:dyDescent="0.4">
      <c r="A76">
        <f t="shared" si="1"/>
        <v>75</v>
      </c>
      <c r="B76" s="40" t="s">
        <v>605</v>
      </c>
      <c r="C76" s="51" t="s">
        <v>1039</v>
      </c>
      <c r="D76" s="52" t="s">
        <v>1040</v>
      </c>
      <c r="E76" s="52" t="s">
        <v>881</v>
      </c>
      <c r="F76" s="52" t="s">
        <v>1041</v>
      </c>
      <c r="G76" s="52" t="s">
        <v>1042</v>
      </c>
      <c r="H76" s="59" t="s">
        <v>1043</v>
      </c>
      <c r="I76" s="52" t="s">
        <v>641</v>
      </c>
      <c r="J76" s="52" t="s">
        <v>637</v>
      </c>
      <c r="K76" s="52" t="s">
        <v>614</v>
      </c>
      <c r="L76" s="52" t="s">
        <v>643</v>
      </c>
      <c r="M76" s="45"/>
      <c r="N76" s="46"/>
      <c r="O76" s="47"/>
      <c r="P76" s="47"/>
      <c r="Q76" s="48"/>
      <c r="R76" s="49"/>
      <c r="S76" s="50"/>
    </row>
    <row r="77" spans="1:20" ht="15" customHeight="1" x14ac:dyDescent="0.4">
      <c r="A77">
        <f t="shared" si="1"/>
        <v>76</v>
      </c>
      <c r="B77" s="40" t="s">
        <v>605</v>
      </c>
      <c r="C77" s="41" t="s">
        <v>418</v>
      </c>
      <c r="D77" s="53" t="s">
        <v>1044</v>
      </c>
      <c r="E77" s="44" t="s">
        <v>832</v>
      </c>
      <c r="F77" s="44" t="s">
        <v>1045</v>
      </c>
      <c r="G77" s="44" t="s">
        <v>1046</v>
      </c>
      <c r="H77" s="103" t="s">
        <v>194</v>
      </c>
      <c r="I77" s="52" t="s">
        <v>734</v>
      </c>
      <c r="J77" s="52" t="s">
        <v>778</v>
      </c>
      <c r="K77" s="44" t="s">
        <v>614</v>
      </c>
      <c r="L77" s="52" t="s">
        <v>615</v>
      </c>
      <c r="M77" s="45"/>
      <c r="N77" s="46"/>
      <c r="O77" s="47"/>
      <c r="P77" s="57"/>
      <c r="Q77" s="63"/>
      <c r="R77" s="68"/>
      <c r="S77" s="81"/>
    </row>
    <row r="78" spans="1:20" ht="15" customHeight="1" x14ac:dyDescent="0.4">
      <c r="A78">
        <f t="shared" si="1"/>
        <v>77</v>
      </c>
      <c r="B78" s="40" t="s">
        <v>605</v>
      </c>
      <c r="C78" s="51" t="s">
        <v>1047</v>
      </c>
      <c r="D78" s="53" t="s">
        <v>1048</v>
      </c>
      <c r="E78" s="53" t="s">
        <v>68</v>
      </c>
      <c r="F78" s="53" t="s">
        <v>1049</v>
      </c>
      <c r="G78" s="53" t="s">
        <v>1050</v>
      </c>
      <c r="H78" s="53" t="s">
        <v>1051</v>
      </c>
      <c r="I78" s="52" t="s">
        <v>622</v>
      </c>
      <c r="J78" s="53" t="s">
        <v>751</v>
      </c>
      <c r="K78" s="54" t="s">
        <v>614</v>
      </c>
      <c r="L78" s="52" t="s">
        <v>615</v>
      </c>
      <c r="M78" s="80"/>
      <c r="N78" s="46"/>
      <c r="O78" s="47"/>
      <c r="P78" s="72"/>
      <c r="Q78" s="63"/>
      <c r="R78" s="47"/>
      <c r="S78" s="50"/>
    </row>
    <row r="79" spans="1:20" ht="15" customHeight="1" x14ac:dyDescent="0.4">
      <c r="A79">
        <f t="shared" si="1"/>
        <v>78</v>
      </c>
      <c r="B79" s="40" t="s">
        <v>605</v>
      </c>
      <c r="C79" s="51" t="s">
        <v>310</v>
      </c>
      <c r="D79" s="52" t="s">
        <v>1052</v>
      </c>
      <c r="E79" s="52" t="s">
        <v>1053</v>
      </c>
      <c r="F79" s="52" t="s">
        <v>1054</v>
      </c>
      <c r="G79" s="52" t="s">
        <v>311</v>
      </c>
      <c r="H79" s="53" t="s">
        <v>41</v>
      </c>
      <c r="I79" s="52" t="s">
        <v>1055</v>
      </c>
      <c r="J79" s="52" t="s">
        <v>778</v>
      </c>
      <c r="K79" s="54" t="s">
        <v>614</v>
      </c>
      <c r="L79" s="52" t="s">
        <v>615</v>
      </c>
      <c r="M79" s="45"/>
      <c r="N79" s="46"/>
      <c r="O79" s="47"/>
      <c r="P79" s="47"/>
      <c r="Q79" s="48"/>
      <c r="R79" s="49"/>
      <c r="S79" s="50"/>
    </row>
    <row r="80" spans="1:20" ht="15" customHeight="1" x14ac:dyDescent="0.4">
      <c r="A80">
        <f t="shared" si="1"/>
        <v>79</v>
      </c>
      <c r="B80" s="40" t="s">
        <v>605</v>
      </c>
      <c r="C80" s="51" t="s">
        <v>1056</v>
      </c>
      <c r="D80" s="52" t="s">
        <v>1057</v>
      </c>
      <c r="E80" s="52" t="s">
        <v>864</v>
      </c>
      <c r="F80" s="52" t="s">
        <v>1058</v>
      </c>
      <c r="G80" s="52" t="s">
        <v>1059</v>
      </c>
      <c r="H80" s="59" t="s">
        <v>1060</v>
      </c>
      <c r="I80" s="52" t="s">
        <v>649</v>
      </c>
      <c r="J80" s="52" t="s">
        <v>637</v>
      </c>
      <c r="K80" s="54" t="s">
        <v>614</v>
      </c>
      <c r="L80" s="52" t="s">
        <v>615</v>
      </c>
      <c r="M80" s="45"/>
      <c r="N80" s="46"/>
      <c r="O80" s="47"/>
      <c r="P80" s="47"/>
      <c r="Q80" s="48"/>
      <c r="R80" s="49"/>
      <c r="S80" s="50"/>
    </row>
    <row r="81" spans="1:20" ht="15" customHeight="1" x14ac:dyDescent="0.4">
      <c r="A81">
        <f t="shared" si="1"/>
        <v>80</v>
      </c>
      <c r="B81" s="40" t="s">
        <v>605</v>
      </c>
      <c r="C81" s="51" t="s">
        <v>361</v>
      </c>
      <c r="D81" s="53" t="s">
        <v>1057</v>
      </c>
      <c r="E81" s="53" t="s">
        <v>1061</v>
      </c>
      <c r="F81" s="53" t="s">
        <v>1062</v>
      </c>
      <c r="G81" s="53" t="s">
        <v>1063</v>
      </c>
      <c r="H81" s="59" t="s">
        <v>118</v>
      </c>
      <c r="I81" s="53" t="s">
        <v>1032</v>
      </c>
      <c r="J81" s="53" t="s">
        <v>778</v>
      </c>
      <c r="K81" s="53" t="s">
        <v>614</v>
      </c>
      <c r="L81" s="52" t="s">
        <v>643</v>
      </c>
      <c r="M81" s="45"/>
      <c r="N81" s="46"/>
      <c r="O81" s="47"/>
      <c r="P81" s="47"/>
      <c r="Q81" s="48"/>
      <c r="R81" s="49"/>
      <c r="S81" s="50"/>
    </row>
    <row r="82" spans="1:20" ht="15" customHeight="1" x14ac:dyDescent="0.4">
      <c r="A82">
        <f t="shared" si="1"/>
        <v>81</v>
      </c>
      <c r="B82" s="40" t="s">
        <v>605</v>
      </c>
      <c r="C82" s="51" t="s">
        <v>1064</v>
      </c>
      <c r="D82" s="52" t="s">
        <v>1057</v>
      </c>
      <c r="E82" s="52" t="s">
        <v>1065</v>
      </c>
      <c r="F82" s="52" t="s">
        <v>1066</v>
      </c>
      <c r="G82" s="52" t="s">
        <v>1067</v>
      </c>
      <c r="H82" s="83" t="s">
        <v>1068</v>
      </c>
      <c r="I82" s="52" t="s">
        <v>720</v>
      </c>
      <c r="J82" s="52" t="s">
        <v>1069</v>
      </c>
      <c r="K82" s="54" t="s">
        <v>614</v>
      </c>
      <c r="L82" s="52" t="s">
        <v>615</v>
      </c>
      <c r="M82" s="45"/>
      <c r="N82" s="46"/>
      <c r="O82" s="47"/>
      <c r="P82" s="57"/>
      <c r="Q82" s="63"/>
      <c r="R82" s="47"/>
      <c r="S82" s="50"/>
      <c r="T82" s="98"/>
    </row>
    <row r="83" spans="1:20" ht="15" customHeight="1" x14ac:dyDescent="0.4">
      <c r="A83">
        <f t="shared" si="1"/>
        <v>82</v>
      </c>
      <c r="B83" s="40" t="s">
        <v>605</v>
      </c>
      <c r="C83" s="41" t="s">
        <v>1070</v>
      </c>
      <c r="D83" s="42" t="s">
        <v>1071</v>
      </c>
      <c r="E83" s="42" t="s">
        <v>1072</v>
      </c>
      <c r="F83" s="42" t="s">
        <v>1073</v>
      </c>
      <c r="G83" s="42" t="s">
        <v>1074</v>
      </c>
      <c r="H83" s="104" t="s">
        <v>1075</v>
      </c>
      <c r="I83" s="52" t="s">
        <v>703</v>
      </c>
      <c r="J83" s="52" t="s">
        <v>704</v>
      </c>
      <c r="K83" s="53" t="s">
        <v>614</v>
      </c>
      <c r="L83" s="52" t="s">
        <v>615</v>
      </c>
      <c r="M83" s="45"/>
      <c r="N83" s="46"/>
      <c r="O83" s="47"/>
      <c r="P83" s="47"/>
      <c r="Q83" s="48"/>
      <c r="R83" s="49"/>
      <c r="S83" s="50"/>
    </row>
    <row r="84" spans="1:20" ht="15" customHeight="1" x14ac:dyDescent="0.4">
      <c r="A84">
        <f t="shared" si="1"/>
        <v>83</v>
      </c>
      <c r="B84" s="40" t="s">
        <v>605</v>
      </c>
      <c r="C84" s="51" t="s">
        <v>1076</v>
      </c>
      <c r="D84" s="52" t="s">
        <v>1077</v>
      </c>
      <c r="E84" s="52" t="s">
        <v>815</v>
      </c>
      <c r="F84" s="52" t="s">
        <v>1078</v>
      </c>
      <c r="G84" s="52" t="s">
        <v>1079</v>
      </c>
      <c r="H84" s="53" t="s">
        <v>1080</v>
      </c>
      <c r="I84" s="52" t="s">
        <v>925</v>
      </c>
      <c r="J84" s="52" t="s">
        <v>669</v>
      </c>
      <c r="K84" s="54" t="s">
        <v>614</v>
      </c>
      <c r="L84" s="52" t="s">
        <v>615</v>
      </c>
      <c r="M84" s="80"/>
      <c r="N84" s="46"/>
      <c r="O84" s="47"/>
      <c r="P84" s="47"/>
      <c r="Q84" s="48"/>
      <c r="R84" s="49"/>
      <c r="S84" s="50"/>
    </row>
    <row r="85" spans="1:20" ht="15" customHeight="1" x14ac:dyDescent="0.4">
      <c r="A85">
        <f t="shared" si="1"/>
        <v>84</v>
      </c>
      <c r="B85" s="40" t="s">
        <v>605</v>
      </c>
      <c r="C85" s="51" t="s">
        <v>1081</v>
      </c>
      <c r="D85" s="52" t="s">
        <v>1077</v>
      </c>
      <c r="E85" s="52" t="s">
        <v>1082</v>
      </c>
      <c r="F85" s="52" t="s">
        <v>1083</v>
      </c>
      <c r="G85" s="52" t="s">
        <v>1084</v>
      </c>
      <c r="H85" s="53" t="s">
        <v>1085</v>
      </c>
      <c r="I85" s="52" t="s">
        <v>727</v>
      </c>
      <c r="J85" s="53" t="s">
        <v>1086</v>
      </c>
      <c r="K85" s="53" t="s">
        <v>614</v>
      </c>
      <c r="L85" s="52" t="s">
        <v>643</v>
      </c>
      <c r="M85" s="80"/>
      <c r="N85" s="46"/>
      <c r="O85" s="47"/>
      <c r="P85" s="72"/>
      <c r="Q85" s="58"/>
      <c r="R85" s="47"/>
      <c r="S85" s="50"/>
      <c r="T85" s="98"/>
    </row>
    <row r="86" spans="1:20" ht="15" customHeight="1" x14ac:dyDescent="0.4">
      <c r="A86">
        <f t="shared" si="1"/>
        <v>85</v>
      </c>
      <c r="B86" s="40" t="s">
        <v>605</v>
      </c>
      <c r="C86" s="51" t="s">
        <v>1087</v>
      </c>
      <c r="D86" s="52" t="s">
        <v>808</v>
      </c>
      <c r="E86" s="52" t="s">
        <v>1088</v>
      </c>
      <c r="F86" s="52" t="s">
        <v>1089</v>
      </c>
      <c r="G86" s="52" t="s">
        <v>1090</v>
      </c>
      <c r="H86" s="75" t="s">
        <v>1091</v>
      </c>
      <c r="I86" s="52" t="s">
        <v>913</v>
      </c>
      <c r="J86" s="53" t="s">
        <v>697</v>
      </c>
      <c r="K86" s="54" t="s">
        <v>614</v>
      </c>
      <c r="L86" s="52" t="s">
        <v>615</v>
      </c>
      <c r="M86" s="45"/>
      <c r="N86" s="46"/>
      <c r="O86" s="47"/>
      <c r="P86" s="72"/>
      <c r="Q86" s="58"/>
      <c r="R86" s="47"/>
      <c r="S86" s="105"/>
    </row>
    <row r="87" spans="1:20" ht="15" customHeight="1" x14ac:dyDescent="0.4">
      <c r="A87">
        <f t="shared" si="1"/>
        <v>86</v>
      </c>
      <c r="B87" s="40" t="s">
        <v>605</v>
      </c>
      <c r="C87" s="51" t="s">
        <v>1092</v>
      </c>
      <c r="D87" s="52" t="s">
        <v>808</v>
      </c>
      <c r="E87" s="52" t="s">
        <v>1093</v>
      </c>
      <c r="F87" s="52" t="s">
        <v>1094</v>
      </c>
      <c r="G87" s="52" t="s">
        <v>1095</v>
      </c>
      <c r="H87" s="106" t="s">
        <v>1096</v>
      </c>
      <c r="I87" s="52" t="s">
        <v>720</v>
      </c>
      <c r="J87" s="52" t="s">
        <v>1086</v>
      </c>
      <c r="K87" s="54" t="s">
        <v>614</v>
      </c>
      <c r="L87" s="52" t="s">
        <v>615</v>
      </c>
      <c r="M87" s="45"/>
      <c r="N87" s="46"/>
      <c r="O87" s="47"/>
      <c r="P87" s="72"/>
      <c r="Q87" s="58"/>
      <c r="R87" s="47"/>
      <c r="S87" s="81"/>
    </row>
    <row r="88" spans="1:20" ht="15" customHeight="1" x14ac:dyDescent="0.4">
      <c r="A88">
        <f t="shared" si="1"/>
        <v>87</v>
      </c>
      <c r="B88" s="40" t="s">
        <v>605</v>
      </c>
      <c r="C88" s="51" t="s">
        <v>1097</v>
      </c>
      <c r="D88" s="52" t="s">
        <v>1098</v>
      </c>
      <c r="E88" s="52" t="s">
        <v>687</v>
      </c>
      <c r="F88" s="52" t="s">
        <v>1099</v>
      </c>
      <c r="G88" s="52" t="s">
        <v>1100</v>
      </c>
      <c r="H88" s="60" t="s">
        <v>1101</v>
      </c>
      <c r="I88" s="52" t="s">
        <v>720</v>
      </c>
      <c r="J88" s="53" t="s">
        <v>1086</v>
      </c>
      <c r="K88" s="53" t="s">
        <v>614</v>
      </c>
      <c r="L88" s="52" t="s">
        <v>615</v>
      </c>
      <c r="M88" s="45"/>
      <c r="N88" s="46"/>
      <c r="O88" s="47"/>
      <c r="P88" s="47"/>
      <c r="Q88" s="48"/>
      <c r="R88" s="49"/>
      <c r="S88" s="50"/>
    </row>
    <row r="89" spans="1:20" ht="15" customHeight="1" x14ac:dyDescent="0.4">
      <c r="A89">
        <f t="shared" si="1"/>
        <v>88</v>
      </c>
      <c r="B89" s="40" t="s">
        <v>605</v>
      </c>
      <c r="C89" s="41" t="s">
        <v>336</v>
      </c>
      <c r="D89" s="42" t="s">
        <v>1012</v>
      </c>
      <c r="E89" s="42" t="s">
        <v>1012</v>
      </c>
      <c r="F89" s="42" t="s">
        <v>1102</v>
      </c>
      <c r="G89" s="42" t="s">
        <v>1103</v>
      </c>
      <c r="H89" s="82" t="s">
        <v>112</v>
      </c>
      <c r="I89" s="52" t="s">
        <v>656</v>
      </c>
      <c r="J89" s="52" t="s">
        <v>778</v>
      </c>
      <c r="K89" s="54" t="s">
        <v>614</v>
      </c>
      <c r="L89" s="44" t="s">
        <v>615</v>
      </c>
      <c r="M89" s="45"/>
      <c r="N89" s="46"/>
      <c r="O89" s="95"/>
      <c r="P89" s="57"/>
      <c r="Q89" s="58"/>
      <c r="R89" s="68"/>
      <c r="S89" s="50"/>
      <c r="T89" s="98"/>
    </row>
    <row r="90" spans="1:20" ht="15" customHeight="1" x14ac:dyDescent="0.4">
      <c r="A90">
        <f t="shared" si="1"/>
        <v>89</v>
      </c>
      <c r="B90" s="40" t="s">
        <v>605</v>
      </c>
      <c r="C90" s="41" t="s">
        <v>438</v>
      </c>
      <c r="D90" s="42" t="s">
        <v>1012</v>
      </c>
      <c r="E90" s="42" t="s">
        <v>1104</v>
      </c>
      <c r="F90" s="42" t="s">
        <v>1105</v>
      </c>
      <c r="G90" s="42" t="s">
        <v>1106</v>
      </c>
      <c r="H90" s="107" t="s">
        <v>66</v>
      </c>
      <c r="I90" s="52" t="s">
        <v>1107</v>
      </c>
      <c r="J90" s="52" t="s">
        <v>778</v>
      </c>
      <c r="K90" s="54" t="s">
        <v>614</v>
      </c>
      <c r="L90" s="44" t="s">
        <v>643</v>
      </c>
      <c r="M90" s="45"/>
      <c r="N90" s="46"/>
      <c r="O90" s="95"/>
      <c r="P90" s="57"/>
      <c r="Q90" s="58"/>
      <c r="R90" s="68"/>
      <c r="S90" s="50"/>
      <c r="T90" s="98"/>
    </row>
    <row r="91" spans="1:20" ht="15" customHeight="1" x14ac:dyDescent="0.4">
      <c r="A91">
        <f t="shared" si="1"/>
        <v>90</v>
      </c>
      <c r="B91" s="40" t="s">
        <v>605</v>
      </c>
      <c r="C91" s="41" t="s">
        <v>1108</v>
      </c>
      <c r="D91" s="42" t="s">
        <v>1012</v>
      </c>
      <c r="E91" s="42" t="s">
        <v>1109</v>
      </c>
      <c r="F91" s="42" t="s">
        <v>1110</v>
      </c>
      <c r="G91" s="42" t="s">
        <v>1111</v>
      </c>
      <c r="H91" s="82" t="s">
        <v>1112</v>
      </c>
      <c r="I91" s="52" t="s">
        <v>913</v>
      </c>
      <c r="J91" s="52" t="s">
        <v>697</v>
      </c>
      <c r="K91" s="53" t="s">
        <v>614</v>
      </c>
      <c r="L91" s="52" t="s">
        <v>615</v>
      </c>
      <c r="M91" s="56"/>
      <c r="N91" s="46"/>
      <c r="O91" s="47"/>
      <c r="P91" s="47"/>
      <c r="Q91" s="48"/>
      <c r="R91" s="49"/>
      <c r="S91" s="50"/>
    </row>
    <row r="92" spans="1:20" ht="15" customHeight="1" x14ac:dyDescent="0.4">
      <c r="A92">
        <f t="shared" si="1"/>
        <v>91</v>
      </c>
      <c r="B92" s="40" t="s">
        <v>605</v>
      </c>
      <c r="C92" s="41" t="s">
        <v>1113</v>
      </c>
      <c r="D92" s="52" t="s">
        <v>1012</v>
      </c>
      <c r="E92" s="42" t="s">
        <v>1114</v>
      </c>
      <c r="F92" s="42" t="s">
        <v>1115</v>
      </c>
      <c r="G92" s="42" t="s">
        <v>1116</v>
      </c>
      <c r="H92" s="59" t="s">
        <v>1117</v>
      </c>
      <c r="I92" s="52" t="s">
        <v>630</v>
      </c>
      <c r="J92" s="53" t="s">
        <v>669</v>
      </c>
      <c r="K92" s="54" t="s">
        <v>614</v>
      </c>
      <c r="L92" s="52" t="s">
        <v>615</v>
      </c>
      <c r="M92" s="45"/>
      <c r="N92" s="46"/>
      <c r="O92" s="47"/>
      <c r="P92" s="72"/>
      <c r="Q92" s="58"/>
      <c r="R92" s="47"/>
      <c r="S92" s="50"/>
    </row>
    <row r="93" spans="1:20" ht="15" customHeight="1" x14ac:dyDescent="0.4">
      <c r="A93">
        <f t="shared" si="1"/>
        <v>92</v>
      </c>
      <c r="B93" s="40" t="s">
        <v>605</v>
      </c>
      <c r="C93" s="51" t="s">
        <v>1118</v>
      </c>
      <c r="D93" s="52" t="s">
        <v>1119</v>
      </c>
      <c r="E93" s="52" t="s">
        <v>711</v>
      </c>
      <c r="F93" s="52" t="s">
        <v>1120</v>
      </c>
      <c r="G93" s="52" t="s">
        <v>1121</v>
      </c>
      <c r="H93" s="53" t="s">
        <v>1122</v>
      </c>
      <c r="I93" s="53" t="s">
        <v>1123</v>
      </c>
      <c r="J93" s="52" t="s">
        <v>1033</v>
      </c>
      <c r="K93" s="54" t="s">
        <v>614</v>
      </c>
      <c r="L93" s="52" t="s">
        <v>643</v>
      </c>
      <c r="M93" s="80"/>
      <c r="N93" s="46"/>
      <c r="O93" s="47"/>
      <c r="P93" s="57"/>
      <c r="Q93" s="58"/>
      <c r="R93" s="47"/>
      <c r="S93" s="50"/>
    </row>
    <row r="94" spans="1:20" ht="15" customHeight="1" x14ac:dyDescent="0.4">
      <c r="A94">
        <f t="shared" si="1"/>
        <v>93</v>
      </c>
      <c r="B94" s="40" t="s">
        <v>605</v>
      </c>
      <c r="C94" s="41" t="s">
        <v>1124</v>
      </c>
      <c r="D94" s="44" t="s">
        <v>1028</v>
      </c>
      <c r="E94" s="44" t="s">
        <v>1125</v>
      </c>
      <c r="F94" s="44" t="s">
        <v>1126</v>
      </c>
      <c r="G94" s="44" t="s">
        <v>1127</v>
      </c>
      <c r="H94" s="43" t="s">
        <v>1128</v>
      </c>
      <c r="I94" s="44" t="s">
        <v>799</v>
      </c>
      <c r="J94" s="42" t="s">
        <v>613</v>
      </c>
      <c r="K94" s="44" t="s">
        <v>614</v>
      </c>
      <c r="L94" s="44" t="s">
        <v>643</v>
      </c>
      <c r="M94" s="108"/>
      <c r="N94" s="40"/>
      <c r="O94" s="47"/>
      <c r="P94" s="72"/>
      <c r="Q94" s="58"/>
      <c r="R94" s="47"/>
      <c r="S94" s="50"/>
    </row>
    <row r="95" spans="1:20" ht="15" customHeight="1" x14ac:dyDescent="0.4">
      <c r="A95">
        <f t="shared" si="1"/>
        <v>94</v>
      </c>
      <c r="B95" s="40" t="s">
        <v>605</v>
      </c>
      <c r="C95" s="51" t="s">
        <v>1129</v>
      </c>
      <c r="D95" s="53" t="s">
        <v>1028</v>
      </c>
      <c r="E95" s="53" t="s">
        <v>832</v>
      </c>
      <c r="F95" s="53" t="s">
        <v>1130</v>
      </c>
      <c r="G95" s="53" t="s">
        <v>1131</v>
      </c>
      <c r="H95" s="59" t="s">
        <v>1132</v>
      </c>
      <c r="I95" s="53" t="s">
        <v>622</v>
      </c>
      <c r="J95" s="53" t="s">
        <v>623</v>
      </c>
      <c r="K95" s="54" t="s">
        <v>614</v>
      </c>
      <c r="L95" s="52" t="s">
        <v>615</v>
      </c>
      <c r="M95" s="80"/>
      <c r="N95" s="46"/>
      <c r="O95" s="47"/>
      <c r="P95" s="47"/>
      <c r="Q95" s="48"/>
      <c r="R95" s="49"/>
      <c r="S95" s="50"/>
    </row>
    <row r="96" spans="1:20" ht="15" customHeight="1" x14ac:dyDescent="0.4">
      <c r="A96">
        <f t="shared" si="1"/>
        <v>95</v>
      </c>
      <c r="B96" s="40" t="s">
        <v>605</v>
      </c>
      <c r="C96" s="41" t="s">
        <v>1133</v>
      </c>
      <c r="D96" s="42" t="s">
        <v>1028</v>
      </c>
      <c r="E96" s="42" t="s">
        <v>921</v>
      </c>
      <c r="F96" s="42" t="s">
        <v>1134</v>
      </c>
      <c r="G96" s="42" t="s">
        <v>1135</v>
      </c>
      <c r="H96" s="82" t="s">
        <v>1136</v>
      </c>
      <c r="I96" s="52" t="s">
        <v>649</v>
      </c>
      <c r="J96" s="52" t="s">
        <v>650</v>
      </c>
      <c r="K96" s="54" t="s">
        <v>614</v>
      </c>
      <c r="L96" s="52" t="s">
        <v>615</v>
      </c>
      <c r="M96" s="45"/>
      <c r="N96" s="46"/>
      <c r="O96" s="47"/>
      <c r="P96" s="57"/>
      <c r="Q96" s="63"/>
      <c r="R96" s="68"/>
      <c r="S96" s="50"/>
    </row>
    <row r="97" spans="1:20" ht="15" customHeight="1" x14ac:dyDescent="0.4">
      <c r="A97">
        <f t="shared" si="1"/>
        <v>96</v>
      </c>
      <c r="B97" s="40" t="s">
        <v>605</v>
      </c>
      <c r="C97" s="51" t="s">
        <v>1137</v>
      </c>
      <c r="D97" s="52" t="s">
        <v>1028</v>
      </c>
      <c r="E97" s="52" t="s">
        <v>1138</v>
      </c>
      <c r="F97" s="52" t="s">
        <v>1139</v>
      </c>
      <c r="G97" s="52" t="s">
        <v>1140</v>
      </c>
      <c r="H97" s="59" t="s">
        <v>1141</v>
      </c>
      <c r="I97" s="53" t="s">
        <v>630</v>
      </c>
      <c r="J97" s="53" t="s">
        <v>751</v>
      </c>
      <c r="K97" s="53" t="s">
        <v>614</v>
      </c>
      <c r="L97" s="52" t="s">
        <v>615</v>
      </c>
      <c r="M97" s="56"/>
      <c r="N97" s="46"/>
      <c r="O97" s="47"/>
      <c r="P97" s="72"/>
      <c r="Q97" s="63"/>
      <c r="R97" s="47"/>
      <c r="S97" s="81"/>
      <c r="T97" s="98"/>
    </row>
    <row r="98" spans="1:20" ht="15" customHeight="1" x14ac:dyDescent="0.4">
      <c r="A98">
        <f t="shared" si="1"/>
        <v>97</v>
      </c>
      <c r="B98" s="40" t="s">
        <v>605</v>
      </c>
      <c r="C98" s="51" t="s">
        <v>1142</v>
      </c>
      <c r="D98" s="52" t="s">
        <v>1028</v>
      </c>
      <c r="E98" s="52" t="s">
        <v>716</v>
      </c>
      <c r="F98" s="52" t="s">
        <v>1143</v>
      </c>
      <c r="G98" s="52" t="s">
        <v>1144</v>
      </c>
      <c r="H98" s="83" t="s">
        <v>1145</v>
      </c>
      <c r="I98" s="52" t="s">
        <v>774</v>
      </c>
      <c r="J98" s="52" t="s">
        <v>1086</v>
      </c>
      <c r="K98" s="53" t="s">
        <v>614</v>
      </c>
      <c r="L98" s="52" t="s">
        <v>643</v>
      </c>
      <c r="M98" s="45"/>
      <c r="N98" s="46"/>
      <c r="O98" s="47"/>
      <c r="P98" s="72"/>
      <c r="Q98" s="58"/>
      <c r="R98" s="47"/>
      <c r="S98" s="64"/>
    </row>
    <row r="99" spans="1:20" ht="15" customHeight="1" x14ac:dyDescent="0.4">
      <c r="A99">
        <f t="shared" si="1"/>
        <v>98</v>
      </c>
      <c r="B99" s="40" t="s">
        <v>605</v>
      </c>
      <c r="C99" s="41" t="s">
        <v>1146</v>
      </c>
      <c r="D99" s="42" t="s">
        <v>1028</v>
      </c>
      <c r="E99" s="42" t="s">
        <v>1147</v>
      </c>
      <c r="F99" s="42" t="s">
        <v>1148</v>
      </c>
      <c r="G99" s="42" t="s">
        <v>1149</v>
      </c>
      <c r="H99" s="82" t="s">
        <v>1150</v>
      </c>
      <c r="I99" s="44" t="s">
        <v>799</v>
      </c>
      <c r="J99" s="44" t="s">
        <v>669</v>
      </c>
      <c r="K99" s="54" t="s">
        <v>614</v>
      </c>
      <c r="L99" s="42" t="s">
        <v>643</v>
      </c>
      <c r="M99" s="80"/>
      <c r="N99" s="46"/>
      <c r="O99" s="47"/>
      <c r="P99" s="47"/>
      <c r="Q99" s="48"/>
      <c r="R99" s="47"/>
      <c r="S99" s="50"/>
    </row>
    <row r="100" spans="1:20" ht="15" customHeight="1" x14ac:dyDescent="0.4">
      <c r="A100">
        <f t="shared" si="1"/>
        <v>99</v>
      </c>
      <c r="B100" s="40" t="s">
        <v>605</v>
      </c>
      <c r="C100" s="41" t="s">
        <v>307</v>
      </c>
      <c r="D100" s="42" t="s">
        <v>1151</v>
      </c>
      <c r="E100" s="42" t="s">
        <v>794</v>
      </c>
      <c r="F100" s="42" t="s">
        <v>1152</v>
      </c>
      <c r="G100" s="42" t="s">
        <v>1153</v>
      </c>
      <c r="H100" s="107" t="s">
        <v>102</v>
      </c>
      <c r="I100" s="42" t="s">
        <v>1154</v>
      </c>
      <c r="J100" s="42" t="s">
        <v>778</v>
      </c>
      <c r="K100" s="54" t="s">
        <v>614</v>
      </c>
      <c r="L100" s="42" t="s">
        <v>615</v>
      </c>
      <c r="M100" s="80"/>
      <c r="N100" s="46"/>
      <c r="O100" s="47"/>
      <c r="P100" s="47"/>
      <c r="Q100" s="48"/>
      <c r="R100" s="47"/>
      <c r="S100" s="50"/>
    </row>
    <row r="101" spans="1:20" ht="15" customHeight="1" x14ac:dyDescent="0.4">
      <c r="A101">
        <f t="shared" si="1"/>
        <v>100</v>
      </c>
      <c r="B101" s="40" t="s">
        <v>605</v>
      </c>
      <c r="C101" s="51" t="s">
        <v>1155</v>
      </c>
      <c r="D101" s="52" t="s">
        <v>1151</v>
      </c>
      <c r="E101" s="52" t="s">
        <v>826</v>
      </c>
      <c r="F101" s="52" t="s">
        <v>1156</v>
      </c>
      <c r="G101" s="52" t="s">
        <v>1157</v>
      </c>
      <c r="H101" s="53" t="s">
        <v>1158</v>
      </c>
      <c r="I101" s="52" t="s">
        <v>1032</v>
      </c>
      <c r="J101" s="52" t="s">
        <v>1069</v>
      </c>
      <c r="K101" s="44" t="s">
        <v>614</v>
      </c>
      <c r="L101" s="52" t="s">
        <v>615</v>
      </c>
      <c r="M101" s="45"/>
      <c r="N101" s="46"/>
      <c r="O101" s="47"/>
      <c r="P101" s="47"/>
      <c r="Q101" s="48"/>
      <c r="R101" s="49"/>
      <c r="S101" s="50"/>
    </row>
    <row r="102" spans="1:20" ht="15" customHeight="1" x14ac:dyDescent="0.4">
      <c r="A102">
        <f t="shared" si="1"/>
        <v>101</v>
      </c>
      <c r="B102" s="40" t="s">
        <v>605</v>
      </c>
      <c r="C102" s="51" t="s">
        <v>1159</v>
      </c>
      <c r="D102" s="52" t="s">
        <v>1151</v>
      </c>
      <c r="E102" s="52" t="s">
        <v>652</v>
      </c>
      <c r="F102" s="52" t="s">
        <v>1160</v>
      </c>
      <c r="G102" s="52" t="s">
        <v>1161</v>
      </c>
      <c r="H102" s="60" t="s">
        <v>1162</v>
      </c>
      <c r="I102" s="52" t="s">
        <v>757</v>
      </c>
      <c r="J102" s="52" t="s">
        <v>763</v>
      </c>
      <c r="K102" s="54" t="s">
        <v>614</v>
      </c>
      <c r="L102" s="52" t="s">
        <v>615</v>
      </c>
      <c r="M102" s="45"/>
      <c r="N102" s="46"/>
      <c r="O102" s="47"/>
      <c r="P102" s="47"/>
      <c r="Q102" s="48"/>
      <c r="R102" s="49"/>
      <c r="S102" s="50"/>
    </row>
    <row r="103" spans="1:20" ht="15" customHeight="1" x14ac:dyDescent="0.4">
      <c r="A103">
        <f t="shared" si="1"/>
        <v>102</v>
      </c>
      <c r="B103" s="40" t="s">
        <v>605</v>
      </c>
      <c r="C103" s="41" t="s">
        <v>1163</v>
      </c>
      <c r="D103" s="42" t="s">
        <v>1151</v>
      </c>
      <c r="E103" s="42" t="s">
        <v>652</v>
      </c>
      <c r="F103" s="42" t="s">
        <v>1164</v>
      </c>
      <c r="G103" s="42" t="s">
        <v>1165</v>
      </c>
      <c r="H103" s="79" t="s">
        <v>1166</v>
      </c>
      <c r="I103" s="52" t="s">
        <v>612</v>
      </c>
      <c r="J103" s="52" t="s">
        <v>623</v>
      </c>
      <c r="K103" s="54" t="s">
        <v>614</v>
      </c>
      <c r="L103" s="52" t="s">
        <v>615</v>
      </c>
      <c r="M103" s="45"/>
      <c r="N103" s="46"/>
      <c r="O103" s="47"/>
      <c r="P103" s="47"/>
      <c r="Q103" s="48"/>
      <c r="R103" s="49"/>
      <c r="S103" s="50"/>
    </row>
    <row r="104" spans="1:20" ht="15" customHeight="1" x14ac:dyDescent="0.4">
      <c r="A104">
        <f t="shared" si="1"/>
        <v>103</v>
      </c>
      <c r="B104" s="40" t="s">
        <v>605</v>
      </c>
      <c r="C104" s="51" t="s">
        <v>1167</v>
      </c>
      <c r="D104" s="52" t="s">
        <v>1168</v>
      </c>
      <c r="E104" s="52" t="s">
        <v>1169</v>
      </c>
      <c r="F104" s="52" t="s">
        <v>1170</v>
      </c>
      <c r="G104" s="52" t="s">
        <v>1171</v>
      </c>
      <c r="H104" s="53" t="s">
        <v>1172</v>
      </c>
      <c r="I104" s="52" t="s">
        <v>649</v>
      </c>
      <c r="J104" s="52" t="s">
        <v>613</v>
      </c>
      <c r="K104" s="54" t="s">
        <v>614</v>
      </c>
      <c r="L104" s="52" t="s">
        <v>615</v>
      </c>
      <c r="M104" s="45"/>
      <c r="N104" s="46"/>
      <c r="O104" s="47"/>
      <c r="P104" s="47"/>
      <c r="Q104" s="48"/>
      <c r="R104" s="49"/>
      <c r="S104" s="50"/>
    </row>
    <row r="105" spans="1:20" ht="15" customHeight="1" x14ac:dyDescent="0.4">
      <c r="A105">
        <f t="shared" si="1"/>
        <v>104</v>
      </c>
      <c r="B105" s="40" t="s">
        <v>605</v>
      </c>
      <c r="C105" s="41" t="s">
        <v>1173</v>
      </c>
      <c r="D105" s="42" t="s">
        <v>1174</v>
      </c>
      <c r="E105" s="42" t="s">
        <v>1175</v>
      </c>
      <c r="F105" s="42" t="s">
        <v>1176</v>
      </c>
      <c r="G105" s="42" t="s">
        <v>1177</v>
      </c>
      <c r="H105" s="82" t="s">
        <v>1178</v>
      </c>
      <c r="I105" s="42" t="s">
        <v>768</v>
      </c>
      <c r="J105" s="42" t="s">
        <v>623</v>
      </c>
      <c r="K105" s="42" t="s">
        <v>614</v>
      </c>
      <c r="L105" s="42" t="s">
        <v>615</v>
      </c>
      <c r="M105" s="45"/>
      <c r="N105" s="46"/>
      <c r="O105" s="47"/>
      <c r="P105" s="47"/>
      <c r="Q105" s="48"/>
      <c r="R105" s="49"/>
      <c r="S105" s="50"/>
    </row>
    <row r="106" spans="1:20" ht="15" customHeight="1" x14ac:dyDescent="0.4">
      <c r="A106">
        <f t="shared" si="1"/>
        <v>105</v>
      </c>
      <c r="B106" s="40" t="s">
        <v>605</v>
      </c>
      <c r="C106" s="51" t="s">
        <v>1179</v>
      </c>
      <c r="D106" s="52" t="s">
        <v>1180</v>
      </c>
      <c r="E106" s="52" t="s">
        <v>1181</v>
      </c>
      <c r="F106" s="52" t="s">
        <v>1182</v>
      </c>
      <c r="G106" s="52" t="s">
        <v>1183</v>
      </c>
      <c r="H106" s="82" t="s">
        <v>1184</v>
      </c>
      <c r="I106" s="52" t="s">
        <v>641</v>
      </c>
      <c r="J106" s="52" t="s">
        <v>637</v>
      </c>
      <c r="K106" s="54" t="s">
        <v>614</v>
      </c>
      <c r="L106" s="52" t="s">
        <v>643</v>
      </c>
      <c r="M106" s="56"/>
      <c r="N106" s="46"/>
      <c r="O106" s="47"/>
      <c r="P106" s="47"/>
      <c r="Q106" s="48"/>
      <c r="R106" s="49"/>
      <c r="S106" s="50"/>
    </row>
    <row r="107" spans="1:20" ht="15" customHeight="1" x14ac:dyDescent="0.4">
      <c r="A107">
        <f t="shared" si="1"/>
        <v>106</v>
      </c>
      <c r="B107" s="40" t="s">
        <v>605</v>
      </c>
      <c r="C107" s="51" t="s">
        <v>1185</v>
      </c>
      <c r="D107" s="52" t="s">
        <v>1186</v>
      </c>
      <c r="E107" s="52" t="s">
        <v>832</v>
      </c>
      <c r="F107" s="52" t="s">
        <v>1187</v>
      </c>
      <c r="G107" s="52" t="s">
        <v>1188</v>
      </c>
      <c r="H107" s="59" t="s">
        <v>1189</v>
      </c>
      <c r="I107" s="52" t="s">
        <v>861</v>
      </c>
      <c r="J107" s="52" t="s">
        <v>631</v>
      </c>
      <c r="K107" s="52" t="s">
        <v>614</v>
      </c>
      <c r="L107" s="52" t="s">
        <v>615</v>
      </c>
      <c r="M107" s="45"/>
      <c r="N107" s="46"/>
      <c r="O107" s="47"/>
      <c r="P107" s="72"/>
      <c r="Q107" s="63"/>
      <c r="R107" s="47"/>
      <c r="S107" s="81"/>
    </row>
    <row r="108" spans="1:20" ht="15" customHeight="1" x14ac:dyDescent="0.4">
      <c r="A108">
        <f t="shared" si="1"/>
        <v>107</v>
      </c>
      <c r="B108" s="40" t="s">
        <v>605</v>
      </c>
      <c r="C108" s="51" t="s">
        <v>1190</v>
      </c>
      <c r="D108" s="52" t="s">
        <v>1191</v>
      </c>
      <c r="E108" s="52" t="s">
        <v>1192</v>
      </c>
      <c r="F108" s="52" t="s">
        <v>1193</v>
      </c>
      <c r="G108" s="52" t="s">
        <v>1194</v>
      </c>
      <c r="H108" s="53" t="s">
        <v>1195</v>
      </c>
      <c r="I108" s="52" t="s">
        <v>1032</v>
      </c>
      <c r="J108" s="52" t="s">
        <v>728</v>
      </c>
      <c r="K108" s="54" t="s">
        <v>1196</v>
      </c>
      <c r="L108" s="52" t="s">
        <v>615</v>
      </c>
      <c r="M108" s="45"/>
      <c r="N108" s="46"/>
      <c r="O108" s="47"/>
      <c r="P108" s="72"/>
      <c r="Q108" s="96"/>
      <c r="R108" s="47"/>
      <c r="S108" s="50"/>
    </row>
    <row r="109" spans="1:20" ht="15" customHeight="1" x14ac:dyDescent="0.4">
      <c r="A109">
        <f t="shared" si="1"/>
        <v>108</v>
      </c>
      <c r="B109" s="40" t="s">
        <v>605</v>
      </c>
      <c r="C109" s="41" t="s">
        <v>1197</v>
      </c>
      <c r="D109" s="52" t="s">
        <v>1198</v>
      </c>
      <c r="E109" s="42" t="s">
        <v>1017</v>
      </c>
      <c r="F109" s="42" t="s">
        <v>1199</v>
      </c>
      <c r="G109" s="42" t="s">
        <v>1200</v>
      </c>
      <c r="H109" s="83" t="s">
        <v>1201</v>
      </c>
      <c r="I109" s="42" t="s">
        <v>622</v>
      </c>
      <c r="J109" s="42" t="s">
        <v>650</v>
      </c>
      <c r="K109" s="44" t="s">
        <v>614</v>
      </c>
      <c r="L109" s="52" t="s">
        <v>615</v>
      </c>
      <c r="M109" s="45"/>
      <c r="N109" s="46"/>
      <c r="O109" s="47"/>
      <c r="P109" s="47"/>
      <c r="Q109" s="48"/>
      <c r="R109" s="49"/>
      <c r="S109" s="50"/>
    </row>
    <row r="110" spans="1:20" ht="15" customHeight="1" x14ac:dyDescent="0.4">
      <c r="A110">
        <f t="shared" si="1"/>
        <v>109</v>
      </c>
      <c r="B110" s="40" t="s">
        <v>605</v>
      </c>
      <c r="C110" s="51" t="s">
        <v>1202</v>
      </c>
      <c r="D110" s="52" t="s">
        <v>1000</v>
      </c>
      <c r="E110" s="52" t="s">
        <v>1203</v>
      </c>
      <c r="F110" s="52" t="s">
        <v>1204</v>
      </c>
      <c r="G110" s="52" t="s">
        <v>1205</v>
      </c>
      <c r="H110" s="60" t="s">
        <v>1206</v>
      </c>
      <c r="I110" s="52" t="s">
        <v>683</v>
      </c>
      <c r="J110" s="52" t="s">
        <v>613</v>
      </c>
      <c r="K110" s="54" t="s">
        <v>614</v>
      </c>
      <c r="L110" s="52" t="s">
        <v>615</v>
      </c>
      <c r="M110" s="45"/>
      <c r="N110" s="46"/>
      <c r="O110" s="47"/>
      <c r="P110" s="72"/>
      <c r="Q110" s="63"/>
      <c r="R110" s="47"/>
      <c r="S110" s="81"/>
    </row>
    <row r="111" spans="1:20" ht="15" customHeight="1" x14ac:dyDescent="0.4">
      <c r="A111">
        <f t="shared" si="1"/>
        <v>110</v>
      </c>
      <c r="B111" s="40" t="s">
        <v>605</v>
      </c>
      <c r="C111" s="51" t="s">
        <v>1207</v>
      </c>
      <c r="D111" s="52" t="s">
        <v>1000</v>
      </c>
      <c r="E111" s="52" t="s">
        <v>832</v>
      </c>
      <c r="F111" s="52" t="s">
        <v>1208</v>
      </c>
      <c r="G111" s="52" t="s">
        <v>1209</v>
      </c>
      <c r="H111" s="53" t="s">
        <v>1210</v>
      </c>
      <c r="I111" s="52" t="s">
        <v>1026</v>
      </c>
      <c r="J111" s="52" t="s">
        <v>684</v>
      </c>
      <c r="K111" s="52" t="s">
        <v>614</v>
      </c>
      <c r="L111" s="52" t="s">
        <v>615</v>
      </c>
      <c r="M111" s="45"/>
      <c r="N111" s="46"/>
      <c r="O111" s="47"/>
      <c r="P111" s="47"/>
      <c r="Q111" s="48"/>
      <c r="R111" s="49"/>
      <c r="S111" s="50"/>
    </row>
    <row r="112" spans="1:20" ht="15" customHeight="1" x14ac:dyDescent="0.4">
      <c r="A112">
        <f t="shared" si="1"/>
        <v>111</v>
      </c>
      <c r="B112" s="40" t="s">
        <v>605</v>
      </c>
      <c r="C112" s="51" t="s">
        <v>450</v>
      </c>
      <c r="D112" s="52" t="s">
        <v>1000</v>
      </c>
      <c r="E112" s="52" t="s">
        <v>1211</v>
      </c>
      <c r="F112" s="52" t="s">
        <v>1212</v>
      </c>
      <c r="G112" s="52" t="s">
        <v>1213</v>
      </c>
      <c r="H112" s="53" t="s">
        <v>11</v>
      </c>
      <c r="I112" s="52" t="s">
        <v>734</v>
      </c>
      <c r="J112" s="52" t="s">
        <v>778</v>
      </c>
      <c r="K112" s="54" t="s">
        <v>614</v>
      </c>
      <c r="L112" s="52" t="s">
        <v>615</v>
      </c>
      <c r="M112" s="45"/>
      <c r="N112" s="46"/>
      <c r="O112" s="47"/>
      <c r="P112" s="57"/>
      <c r="Q112" s="63"/>
      <c r="R112" s="47"/>
      <c r="S112" s="50"/>
    </row>
    <row r="113" spans="1:19" ht="15" customHeight="1" x14ac:dyDescent="0.4">
      <c r="A113">
        <f t="shared" si="1"/>
        <v>112</v>
      </c>
      <c r="B113" s="40" t="s">
        <v>605</v>
      </c>
      <c r="C113" s="51" t="s">
        <v>276</v>
      </c>
      <c r="D113" s="52" t="s">
        <v>1214</v>
      </c>
      <c r="E113" s="52" t="s">
        <v>1215</v>
      </c>
      <c r="F113" s="52" t="s">
        <v>1216</v>
      </c>
      <c r="G113" s="52" t="s">
        <v>1217</v>
      </c>
      <c r="H113" s="53" t="s">
        <v>1218</v>
      </c>
      <c r="I113" s="52" t="s">
        <v>1219</v>
      </c>
      <c r="J113" s="52" t="s">
        <v>778</v>
      </c>
      <c r="K113" s="54" t="s">
        <v>614</v>
      </c>
      <c r="L113" s="52" t="s">
        <v>615</v>
      </c>
      <c r="M113" s="45"/>
      <c r="N113" s="46"/>
      <c r="O113" s="47"/>
      <c r="P113" s="57"/>
      <c r="Q113" s="63"/>
      <c r="R113" s="47"/>
      <c r="S113" s="50"/>
    </row>
    <row r="114" spans="1:19" ht="15" customHeight="1" x14ac:dyDescent="0.4">
      <c r="A114">
        <f t="shared" si="1"/>
        <v>113</v>
      </c>
      <c r="B114" s="40" t="s">
        <v>605</v>
      </c>
      <c r="C114" s="51" t="s">
        <v>1220</v>
      </c>
      <c r="D114" s="52" t="s">
        <v>753</v>
      </c>
      <c r="E114" s="52" t="s">
        <v>1221</v>
      </c>
      <c r="F114" s="52" t="s">
        <v>1222</v>
      </c>
      <c r="G114" s="52" t="s">
        <v>1223</v>
      </c>
      <c r="H114" s="107" t="s">
        <v>1224</v>
      </c>
      <c r="I114" s="109" t="s">
        <v>774</v>
      </c>
      <c r="J114" s="76" t="s">
        <v>836</v>
      </c>
      <c r="K114" s="54" t="s">
        <v>614</v>
      </c>
      <c r="L114" s="76" t="s">
        <v>643</v>
      </c>
      <c r="M114" s="45"/>
      <c r="N114" s="46"/>
      <c r="O114" s="47"/>
      <c r="P114" s="57"/>
      <c r="Q114" s="63"/>
      <c r="R114" s="47"/>
      <c r="S114" s="50"/>
    </row>
    <row r="115" spans="1:19" ht="15" customHeight="1" x14ac:dyDescent="0.4">
      <c r="A115">
        <f t="shared" si="1"/>
        <v>114</v>
      </c>
      <c r="B115" s="40" t="s">
        <v>605</v>
      </c>
      <c r="C115" s="51" t="s">
        <v>1225</v>
      </c>
      <c r="D115" s="52" t="s">
        <v>753</v>
      </c>
      <c r="E115" s="52" t="s">
        <v>852</v>
      </c>
      <c r="F115" s="52" t="s">
        <v>1226</v>
      </c>
      <c r="G115" s="52" t="s">
        <v>1227</v>
      </c>
      <c r="H115" s="53" t="s">
        <v>1228</v>
      </c>
      <c r="I115" s="52" t="s">
        <v>649</v>
      </c>
      <c r="J115" s="52" t="s">
        <v>623</v>
      </c>
      <c r="K115" s="54" t="s">
        <v>614</v>
      </c>
      <c r="L115" s="52" t="s">
        <v>615</v>
      </c>
      <c r="M115" s="45"/>
      <c r="N115" s="46"/>
      <c r="O115" s="47"/>
      <c r="P115" s="57"/>
      <c r="Q115" s="63"/>
      <c r="R115" s="47"/>
      <c r="S115" s="50"/>
    </row>
    <row r="116" spans="1:19" ht="15" customHeight="1" x14ac:dyDescent="0.4">
      <c r="A116">
        <f t="shared" si="1"/>
        <v>115</v>
      </c>
      <c r="B116" s="40" t="s">
        <v>605</v>
      </c>
      <c r="C116" s="51" t="s">
        <v>1229</v>
      </c>
      <c r="D116" s="52" t="s">
        <v>699</v>
      </c>
      <c r="E116" s="52" t="s">
        <v>1028</v>
      </c>
      <c r="F116" s="52" t="s">
        <v>1230</v>
      </c>
      <c r="G116" s="52" t="s">
        <v>1231</v>
      </c>
      <c r="H116" s="60" t="s">
        <v>1232</v>
      </c>
      <c r="I116" s="52" t="s">
        <v>720</v>
      </c>
      <c r="J116" s="53" t="s">
        <v>836</v>
      </c>
      <c r="K116" s="54" t="s">
        <v>614</v>
      </c>
      <c r="L116" s="52" t="s">
        <v>615</v>
      </c>
      <c r="M116" s="45"/>
      <c r="N116" s="46"/>
      <c r="O116" s="47"/>
      <c r="P116" s="57"/>
      <c r="Q116" s="63"/>
      <c r="R116" s="47"/>
      <c r="S116" s="50"/>
    </row>
    <row r="117" spans="1:19" ht="15" customHeight="1" x14ac:dyDescent="0.4">
      <c r="A117">
        <f t="shared" si="1"/>
        <v>116</v>
      </c>
      <c r="B117" s="40" t="s">
        <v>605</v>
      </c>
      <c r="C117" s="41" t="s">
        <v>1233</v>
      </c>
      <c r="D117" s="42" t="s">
        <v>699</v>
      </c>
      <c r="E117" s="42" t="s">
        <v>808</v>
      </c>
      <c r="F117" s="42" t="s">
        <v>1234</v>
      </c>
      <c r="G117" s="42" t="s">
        <v>1235</v>
      </c>
      <c r="H117" s="104" t="s">
        <v>1236</v>
      </c>
      <c r="I117" s="53" t="s">
        <v>641</v>
      </c>
      <c r="J117" s="42" t="s">
        <v>1237</v>
      </c>
      <c r="K117" s="54" t="s">
        <v>614</v>
      </c>
      <c r="L117" s="52" t="s">
        <v>643</v>
      </c>
      <c r="M117" s="56"/>
      <c r="N117" s="46"/>
      <c r="O117" s="47"/>
      <c r="P117" s="57"/>
      <c r="Q117" s="63"/>
      <c r="R117" s="47"/>
      <c r="S117" s="50"/>
    </row>
    <row r="118" spans="1:19" ht="15" customHeight="1" x14ac:dyDescent="0.4">
      <c r="A118">
        <f t="shared" si="1"/>
        <v>117</v>
      </c>
      <c r="B118" s="40" t="s">
        <v>605</v>
      </c>
      <c r="C118" s="41" t="s">
        <v>1238</v>
      </c>
      <c r="D118" s="42" t="s">
        <v>699</v>
      </c>
      <c r="E118" s="42" t="s">
        <v>1151</v>
      </c>
      <c r="F118" s="42" t="s">
        <v>1239</v>
      </c>
      <c r="G118" s="42" t="s">
        <v>1240</v>
      </c>
      <c r="H118" s="82" t="s">
        <v>1241</v>
      </c>
      <c r="I118" s="52" t="s">
        <v>641</v>
      </c>
      <c r="J118" s="52" t="s">
        <v>657</v>
      </c>
      <c r="K118" s="54" t="s">
        <v>614</v>
      </c>
      <c r="L118" s="44" t="s">
        <v>643</v>
      </c>
      <c r="M118" s="45"/>
      <c r="N118" s="46"/>
      <c r="O118" s="47"/>
      <c r="P118" s="57"/>
      <c r="Q118" s="63"/>
      <c r="R118" s="47"/>
      <c r="S118" s="50"/>
    </row>
    <row r="119" spans="1:19" ht="15" customHeight="1" x14ac:dyDescent="0.4">
      <c r="A119">
        <f t="shared" si="1"/>
        <v>118</v>
      </c>
      <c r="B119" s="40" t="s">
        <v>605</v>
      </c>
      <c r="C119" s="51" t="s">
        <v>1242</v>
      </c>
      <c r="D119" s="52" t="s">
        <v>699</v>
      </c>
      <c r="E119" s="52" t="s">
        <v>699</v>
      </c>
      <c r="F119" s="52" t="s">
        <v>1243</v>
      </c>
      <c r="G119" s="52" t="s">
        <v>1244</v>
      </c>
      <c r="H119" s="53" t="s">
        <v>1245</v>
      </c>
      <c r="I119" s="52" t="s">
        <v>683</v>
      </c>
      <c r="J119" s="52" t="s">
        <v>697</v>
      </c>
      <c r="K119" s="54" t="s">
        <v>614</v>
      </c>
      <c r="L119" s="52" t="s">
        <v>615</v>
      </c>
      <c r="M119" s="80"/>
      <c r="N119" s="46"/>
      <c r="O119" s="47"/>
      <c r="P119" s="57"/>
      <c r="Q119" s="63"/>
      <c r="R119" s="47"/>
      <c r="S119" s="50"/>
    </row>
    <row r="120" spans="1:19" ht="15" customHeight="1" x14ac:dyDescent="0.4">
      <c r="A120">
        <f t="shared" si="1"/>
        <v>119</v>
      </c>
      <c r="B120" s="40" t="s">
        <v>605</v>
      </c>
      <c r="C120" s="51" t="s">
        <v>1246</v>
      </c>
      <c r="D120" s="52" t="s">
        <v>699</v>
      </c>
      <c r="E120" s="52" t="s">
        <v>687</v>
      </c>
      <c r="F120" s="52" t="s">
        <v>1247</v>
      </c>
      <c r="G120" s="52" t="s">
        <v>1248</v>
      </c>
      <c r="H120" s="43" t="s">
        <v>1249</v>
      </c>
      <c r="I120" s="52" t="s">
        <v>641</v>
      </c>
      <c r="J120" s="52" t="s">
        <v>721</v>
      </c>
      <c r="K120" s="54" t="s">
        <v>614</v>
      </c>
      <c r="L120" s="52" t="s">
        <v>615</v>
      </c>
      <c r="M120" s="45"/>
      <c r="N120" s="46"/>
      <c r="O120" s="47"/>
      <c r="P120" s="57"/>
      <c r="Q120" s="63"/>
      <c r="R120" s="47"/>
      <c r="S120" s="50"/>
    </row>
    <row r="121" spans="1:19" ht="15" customHeight="1" x14ac:dyDescent="0.4">
      <c r="A121">
        <f t="shared" si="1"/>
        <v>120</v>
      </c>
      <c r="B121" s="40" t="s">
        <v>605</v>
      </c>
      <c r="C121" s="41" t="s">
        <v>1250</v>
      </c>
      <c r="D121" s="52" t="s">
        <v>699</v>
      </c>
      <c r="E121" s="42" t="s">
        <v>1251</v>
      </c>
      <c r="F121" s="42" t="s">
        <v>1252</v>
      </c>
      <c r="G121" s="42" t="s">
        <v>1253</v>
      </c>
      <c r="H121" s="59" t="s">
        <v>1254</v>
      </c>
      <c r="I121" s="42" t="s">
        <v>757</v>
      </c>
      <c r="J121" s="42" t="s">
        <v>650</v>
      </c>
      <c r="K121" s="54" t="s">
        <v>614</v>
      </c>
      <c r="L121" s="52" t="s">
        <v>615</v>
      </c>
      <c r="M121" s="45"/>
      <c r="N121" s="46"/>
      <c r="O121" s="47"/>
      <c r="P121" s="57"/>
      <c r="Q121" s="63"/>
      <c r="R121" s="47"/>
      <c r="S121" s="50"/>
    </row>
    <row r="122" spans="1:19" ht="15" customHeight="1" x14ac:dyDescent="0.4">
      <c r="A122">
        <f t="shared" si="1"/>
        <v>121</v>
      </c>
      <c r="B122" s="40" t="s">
        <v>605</v>
      </c>
      <c r="C122" s="41" t="s">
        <v>1255</v>
      </c>
      <c r="D122" s="52" t="s">
        <v>699</v>
      </c>
      <c r="E122" s="42" t="s">
        <v>1256</v>
      </c>
      <c r="F122" s="42" t="s">
        <v>1257</v>
      </c>
      <c r="G122" s="42" t="s">
        <v>1258</v>
      </c>
      <c r="H122" s="59" t="s">
        <v>1259</v>
      </c>
      <c r="I122" s="42" t="s">
        <v>913</v>
      </c>
      <c r="J122" s="42" t="s">
        <v>676</v>
      </c>
      <c r="K122" s="54" t="s">
        <v>614</v>
      </c>
      <c r="L122" s="52" t="s">
        <v>615</v>
      </c>
      <c r="M122" s="45"/>
      <c r="N122" s="46"/>
      <c r="O122" s="47"/>
      <c r="P122" s="57"/>
      <c r="Q122" s="63"/>
      <c r="R122" s="47"/>
      <c r="S122" s="50"/>
    </row>
    <row r="123" spans="1:19" ht="15" customHeight="1" x14ac:dyDescent="0.4">
      <c r="A123">
        <f t="shared" si="1"/>
        <v>122</v>
      </c>
      <c r="B123" s="40" t="s">
        <v>605</v>
      </c>
      <c r="C123" s="51" t="s">
        <v>1260</v>
      </c>
      <c r="D123" s="52" t="s">
        <v>699</v>
      </c>
      <c r="E123" s="52" t="s">
        <v>1109</v>
      </c>
      <c r="F123" s="52" t="s">
        <v>1208</v>
      </c>
      <c r="G123" s="52" t="s">
        <v>1261</v>
      </c>
      <c r="H123" s="60" t="s">
        <v>1262</v>
      </c>
      <c r="I123" s="52" t="s">
        <v>630</v>
      </c>
      <c r="J123" s="52" t="s">
        <v>704</v>
      </c>
      <c r="K123" s="44" t="s">
        <v>614</v>
      </c>
      <c r="L123" s="52" t="s">
        <v>615</v>
      </c>
      <c r="M123" s="45"/>
      <c r="N123" s="46"/>
      <c r="O123" s="47"/>
      <c r="P123" s="57"/>
      <c r="Q123" s="63"/>
      <c r="R123" s="47"/>
      <c r="S123" s="50"/>
    </row>
    <row r="124" spans="1:19" ht="15" customHeight="1" x14ac:dyDescent="0.4">
      <c r="A124">
        <f t="shared" si="1"/>
        <v>123</v>
      </c>
      <c r="B124" s="40" t="s">
        <v>605</v>
      </c>
      <c r="C124" s="51" t="s">
        <v>1263</v>
      </c>
      <c r="D124" s="52" t="s">
        <v>699</v>
      </c>
      <c r="E124" s="52" t="s">
        <v>652</v>
      </c>
      <c r="F124" s="52" t="s">
        <v>1264</v>
      </c>
      <c r="G124" s="52" t="s">
        <v>1265</v>
      </c>
      <c r="H124" s="53" t="s">
        <v>1266</v>
      </c>
      <c r="I124" s="52" t="s">
        <v>703</v>
      </c>
      <c r="J124" s="52" t="s">
        <v>704</v>
      </c>
      <c r="K124" s="54" t="s">
        <v>614</v>
      </c>
      <c r="L124" s="52" t="s">
        <v>615</v>
      </c>
      <c r="M124" s="80"/>
      <c r="N124" s="46"/>
      <c r="O124" s="47"/>
      <c r="P124" s="57"/>
      <c r="Q124" s="58"/>
      <c r="R124" s="47"/>
      <c r="S124" s="81"/>
    </row>
    <row r="125" spans="1:19" ht="15" customHeight="1" x14ac:dyDescent="0.4">
      <c r="A125">
        <f t="shared" si="1"/>
        <v>124</v>
      </c>
      <c r="B125" s="40" t="s">
        <v>605</v>
      </c>
      <c r="C125" s="41" t="s">
        <v>1267</v>
      </c>
      <c r="D125" s="42" t="s">
        <v>699</v>
      </c>
      <c r="E125" s="42" t="s">
        <v>1268</v>
      </c>
      <c r="F125" s="42" t="s">
        <v>1269</v>
      </c>
      <c r="G125" s="42" t="s">
        <v>1270</v>
      </c>
      <c r="H125" s="61" t="s">
        <v>1271</v>
      </c>
      <c r="I125" s="42" t="s">
        <v>656</v>
      </c>
      <c r="J125" s="42" t="s">
        <v>1033</v>
      </c>
      <c r="K125" s="44" t="s">
        <v>614</v>
      </c>
      <c r="L125" s="42" t="s">
        <v>615</v>
      </c>
      <c r="M125" s="45"/>
      <c r="N125" s="46"/>
      <c r="O125" s="47"/>
      <c r="P125" s="57"/>
      <c r="Q125" s="63"/>
      <c r="R125" s="47"/>
      <c r="S125" s="50"/>
    </row>
    <row r="126" spans="1:19" ht="15" customHeight="1" x14ac:dyDescent="0.4">
      <c r="A126">
        <f t="shared" si="1"/>
        <v>125</v>
      </c>
      <c r="B126" s="40" t="s">
        <v>605</v>
      </c>
      <c r="C126" s="51" t="s">
        <v>1272</v>
      </c>
      <c r="D126" s="52" t="s">
        <v>699</v>
      </c>
      <c r="E126" s="52" t="s">
        <v>1273</v>
      </c>
      <c r="F126" s="52" t="s">
        <v>1274</v>
      </c>
      <c r="G126" s="52" t="s">
        <v>1275</v>
      </c>
      <c r="H126" s="82" t="s">
        <v>1276</v>
      </c>
      <c r="I126" s="52" t="s">
        <v>1026</v>
      </c>
      <c r="J126" s="52" t="s">
        <v>697</v>
      </c>
      <c r="K126" s="54" t="s">
        <v>614</v>
      </c>
      <c r="L126" s="52" t="s">
        <v>615</v>
      </c>
      <c r="M126" s="45"/>
      <c r="N126" s="46"/>
      <c r="O126" s="47"/>
      <c r="P126" s="57"/>
      <c r="Q126" s="63"/>
      <c r="R126" s="47"/>
      <c r="S126" s="50"/>
    </row>
    <row r="127" spans="1:19" ht="15" customHeight="1" x14ac:dyDescent="0.4">
      <c r="A127">
        <f t="shared" si="1"/>
        <v>126</v>
      </c>
      <c r="B127" s="40" t="s">
        <v>605</v>
      </c>
      <c r="C127" s="51" t="s">
        <v>1277</v>
      </c>
      <c r="D127" s="52" t="s">
        <v>1278</v>
      </c>
      <c r="E127" s="52" t="s">
        <v>1279</v>
      </c>
      <c r="F127" s="52" t="s">
        <v>1280</v>
      </c>
      <c r="G127" s="52" t="s">
        <v>1281</v>
      </c>
      <c r="H127" s="53" t="s">
        <v>1282</v>
      </c>
      <c r="I127" s="52" t="s">
        <v>861</v>
      </c>
      <c r="J127" s="52" t="s">
        <v>684</v>
      </c>
      <c r="K127" s="54" t="s">
        <v>614</v>
      </c>
      <c r="L127" s="52" t="s">
        <v>615</v>
      </c>
      <c r="M127" s="62"/>
      <c r="N127" s="46"/>
      <c r="O127" s="47"/>
      <c r="P127" s="57"/>
      <c r="Q127" s="63"/>
      <c r="R127" s="47"/>
      <c r="S127" s="64"/>
    </row>
    <row r="128" spans="1:19" ht="15" customHeight="1" x14ac:dyDescent="0.4">
      <c r="A128">
        <f t="shared" si="1"/>
        <v>127</v>
      </c>
      <c r="B128" s="40" t="s">
        <v>605</v>
      </c>
      <c r="C128" s="84" t="s">
        <v>1283</v>
      </c>
      <c r="D128" s="85" t="s">
        <v>1284</v>
      </c>
      <c r="E128" s="85" t="s">
        <v>1000</v>
      </c>
      <c r="F128" s="85" t="s">
        <v>1285</v>
      </c>
      <c r="G128" s="85" t="s">
        <v>1286</v>
      </c>
      <c r="H128" s="110" t="s">
        <v>1287</v>
      </c>
      <c r="I128" s="87" t="s">
        <v>1288</v>
      </c>
      <c r="J128" s="87" t="s">
        <v>613</v>
      </c>
      <c r="K128" s="88" t="s">
        <v>614</v>
      </c>
      <c r="L128" s="87" t="s">
        <v>643</v>
      </c>
      <c r="M128" s="111"/>
      <c r="N128" s="46"/>
      <c r="O128" s="47"/>
      <c r="P128" s="57"/>
      <c r="Q128" s="58"/>
      <c r="R128" s="47"/>
      <c r="S128" s="81"/>
    </row>
    <row r="129" spans="1:19" ht="15" customHeight="1" x14ac:dyDescent="0.4">
      <c r="A129">
        <f t="shared" si="1"/>
        <v>128</v>
      </c>
      <c r="B129" s="40" t="s">
        <v>605</v>
      </c>
      <c r="C129" s="51" t="s">
        <v>1289</v>
      </c>
      <c r="D129" s="52" t="s">
        <v>1290</v>
      </c>
      <c r="E129" s="52" t="s">
        <v>1291</v>
      </c>
      <c r="F129" s="52" t="s">
        <v>1292</v>
      </c>
      <c r="G129" s="52" t="s">
        <v>1293</v>
      </c>
      <c r="H129" s="60" t="s">
        <v>1294</v>
      </c>
      <c r="I129" s="52" t="s">
        <v>649</v>
      </c>
      <c r="J129" s="52" t="s">
        <v>763</v>
      </c>
      <c r="K129" s="52" t="s">
        <v>614</v>
      </c>
      <c r="L129" s="52" t="s">
        <v>615</v>
      </c>
      <c r="M129" s="45"/>
      <c r="N129" s="46"/>
      <c r="O129" s="47"/>
      <c r="P129" s="57"/>
      <c r="Q129" s="63"/>
      <c r="R129" s="47"/>
      <c r="S129" s="50"/>
    </row>
    <row r="130" spans="1:19" ht="15" customHeight="1" x14ac:dyDescent="0.4">
      <c r="A130">
        <f t="shared" si="1"/>
        <v>129</v>
      </c>
      <c r="B130" s="40" t="s">
        <v>605</v>
      </c>
      <c r="C130" s="51" t="s">
        <v>1295</v>
      </c>
      <c r="D130" s="52" t="s">
        <v>1296</v>
      </c>
      <c r="E130" s="52" t="s">
        <v>1297</v>
      </c>
      <c r="F130" s="52" t="s">
        <v>1239</v>
      </c>
      <c r="G130" s="52" t="s">
        <v>1298</v>
      </c>
      <c r="H130" s="60" t="s">
        <v>1299</v>
      </c>
      <c r="I130" s="52" t="s">
        <v>703</v>
      </c>
      <c r="J130" s="52" t="s">
        <v>704</v>
      </c>
      <c r="K130" s="54" t="s">
        <v>614</v>
      </c>
      <c r="L130" s="52" t="s">
        <v>615</v>
      </c>
      <c r="M130" s="45"/>
      <c r="N130" s="46"/>
      <c r="O130" s="47"/>
      <c r="P130" s="57"/>
      <c r="Q130" s="63"/>
      <c r="R130" s="47"/>
      <c r="S130" s="50"/>
    </row>
    <row r="131" spans="1:19" ht="15" customHeight="1" x14ac:dyDescent="0.4">
      <c r="A131">
        <f t="shared" si="1"/>
        <v>130</v>
      </c>
      <c r="B131" s="40" t="s">
        <v>605</v>
      </c>
      <c r="C131" s="51" t="s">
        <v>387</v>
      </c>
      <c r="D131" s="52" t="s">
        <v>687</v>
      </c>
      <c r="E131" s="52" t="s">
        <v>1300</v>
      </c>
      <c r="F131" s="52" t="s">
        <v>1301</v>
      </c>
      <c r="G131" s="52" t="s">
        <v>1302</v>
      </c>
      <c r="H131" s="53" t="s">
        <v>1303</v>
      </c>
      <c r="I131" s="52" t="s">
        <v>1304</v>
      </c>
      <c r="J131" s="52" t="s">
        <v>778</v>
      </c>
      <c r="K131" s="54" t="s">
        <v>614</v>
      </c>
      <c r="L131" s="52" t="s">
        <v>615</v>
      </c>
      <c r="M131" s="45"/>
      <c r="N131" s="46"/>
      <c r="O131" s="47"/>
      <c r="P131" s="57"/>
      <c r="Q131" s="63"/>
      <c r="R131" s="47"/>
      <c r="S131" s="50"/>
    </row>
    <row r="132" spans="1:19" ht="15" customHeight="1" x14ac:dyDescent="0.4">
      <c r="A132">
        <f t="shared" ref="A132:A195" si="2">A131+1</f>
        <v>131</v>
      </c>
      <c r="B132" s="40" t="s">
        <v>605</v>
      </c>
      <c r="C132" s="51" t="s">
        <v>1305</v>
      </c>
      <c r="D132" s="52" t="s">
        <v>687</v>
      </c>
      <c r="E132" s="52" t="s">
        <v>1306</v>
      </c>
      <c r="F132" s="52" t="s">
        <v>1307</v>
      </c>
      <c r="G132" s="52" t="s">
        <v>1308</v>
      </c>
      <c r="H132" s="82" t="s">
        <v>1309</v>
      </c>
      <c r="I132" s="52" t="s">
        <v>649</v>
      </c>
      <c r="J132" s="53" t="s">
        <v>664</v>
      </c>
      <c r="K132" s="52" t="s">
        <v>614</v>
      </c>
      <c r="L132" s="52" t="s">
        <v>615</v>
      </c>
      <c r="M132" s="45"/>
      <c r="N132" s="46"/>
      <c r="O132" s="47"/>
      <c r="P132" s="57"/>
      <c r="Q132" s="63"/>
      <c r="R132" s="47"/>
      <c r="S132" s="50"/>
    </row>
    <row r="133" spans="1:19" ht="15" customHeight="1" x14ac:dyDescent="0.4">
      <c r="A133">
        <f t="shared" si="2"/>
        <v>132</v>
      </c>
      <c r="B133" s="40" t="s">
        <v>605</v>
      </c>
      <c r="C133" s="51" t="s">
        <v>293</v>
      </c>
      <c r="D133" s="52" t="s">
        <v>687</v>
      </c>
      <c r="E133" s="52" t="s">
        <v>1310</v>
      </c>
      <c r="F133" s="52" t="s">
        <v>1311</v>
      </c>
      <c r="G133" s="52" t="s">
        <v>1312</v>
      </c>
      <c r="H133" s="60" t="s">
        <v>37</v>
      </c>
      <c r="I133" s="52" t="s">
        <v>703</v>
      </c>
      <c r="J133" s="52" t="s">
        <v>631</v>
      </c>
      <c r="K133" s="54" t="s">
        <v>614</v>
      </c>
      <c r="L133" s="52" t="s">
        <v>615</v>
      </c>
      <c r="M133" s="112"/>
      <c r="N133" s="46"/>
      <c r="O133" s="47"/>
      <c r="P133" s="72"/>
      <c r="Q133" s="63"/>
      <c r="R133" s="47"/>
      <c r="S133" s="50"/>
    </row>
    <row r="134" spans="1:19" ht="15" customHeight="1" x14ac:dyDescent="0.4">
      <c r="A134">
        <f t="shared" si="2"/>
        <v>133</v>
      </c>
      <c r="B134" s="40" t="s">
        <v>605</v>
      </c>
      <c r="C134" s="51" t="s">
        <v>1313</v>
      </c>
      <c r="D134" s="52" t="s">
        <v>687</v>
      </c>
      <c r="E134" s="52" t="s">
        <v>1314</v>
      </c>
      <c r="F134" s="52" t="s">
        <v>1315</v>
      </c>
      <c r="G134" s="52" t="s">
        <v>1316</v>
      </c>
      <c r="H134" s="60" t="s">
        <v>1317</v>
      </c>
      <c r="I134" s="52" t="s">
        <v>703</v>
      </c>
      <c r="J134" s="52" t="s">
        <v>650</v>
      </c>
      <c r="K134" s="54" t="s">
        <v>614</v>
      </c>
      <c r="L134" s="52" t="s">
        <v>615</v>
      </c>
      <c r="M134" s="45"/>
      <c r="N134" s="46"/>
      <c r="O134" s="47"/>
      <c r="P134" s="57"/>
      <c r="Q134" s="63"/>
      <c r="R134" s="47"/>
      <c r="S134" s="113"/>
    </row>
    <row r="135" spans="1:19" ht="15" customHeight="1" x14ac:dyDescent="0.4">
      <c r="A135">
        <f t="shared" si="2"/>
        <v>134</v>
      </c>
      <c r="B135" s="40" t="s">
        <v>605</v>
      </c>
      <c r="C135" s="41" t="s">
        <v>1318</v>
      </c>
      <c r="D135" s="52" t="s">
        <v>687</v>
      </c>
      <c r="E135" s="42" t="s">
        <v>1319</v>
      </c>
      <c r="F135" s="42" t="s">
        <v>712</v>
      </c>
      <c r="G135" s="42" t="s">
        <v>1320</v>
      </c>
      <c r="H135" s="59" t="s">
        <v>1321</v>
      </c>
      <c r="I135" s="42" t="s">
        <v>762</v>
      </c>
      <c r="J135" s="42" t="s">
        <v>669</v>
      </c>
      <c r="K135" s="54" t="s">
        <v>614</v>
      </c>
      <c r="L135" s="52" t="s">
        <v>615</v>
      </c>
      <c r="M135" s="45"/>
      <c r="N135" s="46"/>
      <c r="O135" s="47"/>
      <c r="P135" s="57"/>
      <c r="Q135" s="58"/>
      <c r="R135" s="47"/>
      <c r="S135" s="81"/>
    </row>
    <row r="136" spans="1:19" ht="15" customHeight="1" x14ac:dyDescent="0.4">
      <c r="A136">
        <f t="shared" si="2"/>
        <v>135</v>
      </c>
      <c r="B136" s="40" t="s">
        <v>605</v>
      </c>
      <c r="C136" s="51" t="s">
        <v>1322</v>
      </c>
      <c r="D136" s="52" t="s">
        <v>687</v>
      </c>
      <c r="E136" s="52" t="s">
        <v>652</v>
      </c>
      <c r="F136" s="52" t="s">
        <v>1323</v>
      </c>
      <c r="G136" s="52" t="s">
        <v>1324</v>
      </c>
      <c r="H136" s="59" t="s">
        <v>1325</v>
      </c>
      <c r="I136" s="52" t="s">
        <v>683</v>
      </c>
      <c r="J136" s="52" t="s">
        <v>751</v>
      </c>
      <c r="K136" s="52" t="s">
        <v>614</v>
      </c>
      <c r="L136" s="52" t="s">
        <v>615</v>
      </c>
      <c r="M136" s="45"/>
      <c r="N136" s="46"/>
      <c r="O136" s="47"/>
      <c r="P136" s="57"/>
      <c r="Q136" s="63"/>
      <c r="R136" s="47"/>
      <c r="S136" s="50"/>
    </row>
    <row r="137" spans="1:19" ht="15" customHeight="1" x14ac:dyDescent="0.4">
      <c r="A137">
        <f t="shared" si="2"/>
        <v>136</v>
      </c>
      <c r="B137" s="40" t="s">
        <v>605</v>
      </c>
      <c r="C137" s="51" t="s">
        <v>1326</v>
      </c>
      <c r="D137" s="52" t="s">
        <v>1327</v>
      </c>
      <c r="E137" s="52" t="s">
        <v>1268</v>
      </c>
      <c r="F137" s="52" t="s">
        <v>1058</v>
      </c>
      <c r="G137" s="52" t="s">
        <v>1328</v>
      </c>
      <c r="H137" s="82" t="s">
        <v>1329</v>
      </c>
      <c r="I137" s="53" t="s">
        <v>641</v>
      </c>
      <c r="J137" s="52" t="s">
        <v>1033</v>
      </c>
      <c r="K137" s="54" t="s">
        <v>614</v>
      </c>
      <c r="L137" s="52" t="s">
        <v>615</v>
      </c>
      <c r="M137" s="56"/>
      <c r="N137" s="46"/>
      <c r="O137" s="47"/>
      <c r="P137" s="57"/>
      <c r="Q137" s="63"/>
      <c r="R137" s="47"/>
      <c r="S137" s="50"/>
    </row>
    <row r="138" spans="1:19" ht="15" customHeight="1" x14ac:dyDescent="0.4">
      <c r="A138">
        <f t="shared" si="2"/>
        <v>137</v>
      </c>
      <c r="B138" s="40" t="s">
        <v>605</v>
      </c>
      <c r="C138" s="51" t="s">
        <v>1330</v>
      </c>
      <c r="D138" s="52" t="s">
        <v>1331</v>
      </c>
      <c r="E138" s="52" t="s">
        <v>699</v>
      </c>
      <c r="F138" s="52" t="s">
        <v>1332</v>
      </c>
      <c r="G138" s="52" t="s">
        <v>1333</v>
      </c>
      <c r="H138" s="53" t="s">
        <v>1334</v>
      </c>
      <c r="I138" s="52" t="s">
        <v>622</v>
      </c>
      <c r="J138" s="52" t="s">
        <v>637</v>
      </c>
      <c r="K138" s="54" t="s">
        <v>614</v>
      </c>
      <c r="L138" s="52" t="s">
        <v>615</v>
      </c>
      <c r="M138" s="62"/>
      <c r="N138" s="46"/>
      <c r="O138" s="47"/>
      <c r="P138" s="57"/>
      <c r="Q138" s="63"/>
      <c r="R138" s="47"/>
      <c r="S138" s="50"/>
    </row>
    <row r="139" spans="1:19" ht="15" customHeight="1" x14ac:dyDescent="0.4">
      <c r="A139">
        <f t="shared" si="2"/>
        <v>138</v>
      </c>
      <c r="B139" s="40" t="s">
        <v>605</v>
      </c>
      <c r="C139" s="51" t="s">
        <v>1335</v>
      </c>
      <c r="D139" s="52" t="s">
        <v>1336</v>
      </c>
      <c r="E139" s="53" t="s">
        <v>1337</v>
      </c>
      <c r="F139" s="53" t="s">
        <v>1338</v>
      </c>
      <c r="G139" s="53" t="s">
        <v>1339</v>
      </c>
      <c r="H139" s="83" t="s">
        <v>1340</v>
      </c>
      <c r="I139" s="52" t="s">
        <v>622</v>
      </c>
      <c r="J139" s="53" t="s">
        <v>704</v>
      </c>
      <c r="K139" s="52" t="s">
        <v>614</v>
      </c>
      <c r="L139" s="52" t="s">
        <v>615</v>
      </c>
      <c r="M139" s="45"/>
      <c r="N139" s="46"/>
      <c r="O139" s="47"/>
      <c r="P139" s="57"/>
      <c r="Q139" s="63"/>
      <c r="R139" s="47"/>
      <c r="S139" s="91"/>
    </row>
    <row r="140" spans="1:19" ht="15" customHeight="1" x14ac:dyDescent="0.4">
      <c r="A140">
        <f t="shared" si="2"/>
        <v>139</v>
      </c>
      <c r="B140" s="40" t="s">
        <v>605</v>
      </c>
      <c r="C140" s="51" t="s">
        <v>1341</v>
      </c>
      <c r="D140" s="52" t="s">
        <v>1342</v>
      </c>
      <c r="E140" s="52" t="s">
        <v>1343</v>
      </c>
      <c r="F140" s="52" t="s">
        <v>1344</v>
      </c>
      <c r="G140" s="52" t="s">
        <v>1345</v>
      </c>
      <c r="H140" s="43" t="s">
        <v>1346</v>
      </c>
      <c r="I140" s="53" t="s">
        <v>1055</v>
      </c>
      <c r="J140" s="52" t="s">
        <v>825</v>
      </c>
      <c r="K140" s="54" t="s">
        <v>614</v>
      </c>
      <c r="L140" s="52" t="s">
        <v>615</v>
      </c>
      <c r="M140" s="80"/>
      <c r="N140" s="46"/>
      <c r="O140" s="47"/>
      <c r="P140" s="72"/>
      <c r="Q140" s="58"/>
      <c r="R140" s="47"/>
      <c r="S140" s="50"/>
    </row>
    <row r="141" spans="1:19" ht="15" customHeight="1" x14ac:dyDescent="0.4">
      <c r="A141">
        <f t="shared" si="2"/>
        <v>140</v>
      </c>
      <c r="B141" s="40" t="s">
        <v>605</v>
      </c>
      <c r="C141" s="51" t="s">
        <v>1347</v>
      </c>
      <c r="D141" s="52" t="s">
        <v>1348</v>
      </c>
      <c r="E141" s="52" t="s">
        <v>687</v>
      </c>
      <c r="F141" s="52" t="s">
        <v>1349</v>
      </c>
      <c r="G141" s="52" t="s">
        <v>1350</v>
      </c>
      <c r="H141" s="53" t="s">
        <v>1351</v>
      </c>
      <c r="I141" s="53" t="s">
        <v>720</v>
      </c>
      <c r="J141" s="53" t="s">
        <v>1237</v>
      </c>
      <c r="K141" s="54" t="s">
        <v>614</v>
      </c>
      <c r="L141" s="52" t="s">
        <v>615</v>
      </c>
      <c r="M141" s="45"/>
      <c r="N141" s="46"/>
      <c r="O141" s="47"/>
      <c r="P141" s="57"/>
      <c r="Q141" s="63"/>
      <c r="R141" s="47"/>
      <c r="S141" s="50"/>
    </row>
    <row r="142" spans="1:19" ht="15" customHeight="1" x14ac:dyDescent="0.4">
      <c r="A142">
        <f t="shared" si="2"/>
        <v>141</v>
      </c>
      <c r="B142" s="40" t="s">
        <v>605</v>
      </c>
      <c r="C142" s="51" t="s">
        <v>1352</v>
      </c>
      <c r="D142" s="52" t="s">
        <v>1353</v>
      </c>
      <c r="E142" s="52" t="s">
        <v>716</v>
      </c>
      <c r="F142" s="52" t="s">
        <v>1354</v>
      </c>
      <c r="G142" s="52" t="s">
        <v>1355</v>
      </c>
      <c r="H142" s="103" t="s">
        <v>1356</v>
      </c>
      <c r="I142" s="52" t="s">
        <v>1055</v>
      </c>
      <c r="J142" s="52" t="s">
        <v>728</v>
      </c>
      <c r="K142" s="52" t="s">
        <v>614</v>
      </c>
      <c r="L142" s="52" t="s">
        <v>615</v>
      </c>
      <c r="M142" s="80"/>
      <c r="N142" s="46"/>
      <c r="O142" s="47"/>
      <c r="P142" s="57"/>
      <c r="Q142" s="63"/>
      <c r="R142" s="47"/>
      <c r="S142" s="50"/>
    </row>
    <row r="143" spans="1:19" ht="15" customHeight="1" x14ac:dyDescent="0.4">
      <c r="A143">
        <f t="shared" si="2"/>
        <v>142</v>
      </c>
      <c r="B143" s="40" t="s">
        <v>605</v>
      </c>
      <c r="C143" s="51" t="s">
        <v>1357</v>
      </c>
      <c r="D143" s="52" t="s">
        <v>1358</v>
      </c>
      <c r="E143" s="52" t="s">
        <v>1151</v>
      </c>
      <c r="F143" s="52" t="s">
        <v>1359</v>
      </c>
      <c r="G143" s="52" t="s">
        <v>1360</v>
      </c>
      <c r="H143" s="53" t="s">
        <v>1361</v>
      </c>
      <c r="I143" s="52" t="s">
        <v>622</v>
      </c>
      <c r="J143" s="52" t="s">
        <v>631</v>
      </c>
      <c r="K143" s="54" t="s">
        <v>614</v>
      </c>
      <c r="L143" s="52" t="s">
        <v>615</v>
      </c>
      <c r="M143" s="45"/>
      <c r="N143" s="46"/>
      <c r="O143" s="47"/>
      <c r="P143" s="57"/>
      <c r="Q143" s="63"/>
      <c r="R143" s="47"/>
      <c r="S143" s="50"/>
    </row>
    <row r="144" spans="1:19" ht="15" customHeight="1" x14ac:dyDescent="0.4">
      <c r="A144">
        <f t="shared" si="2"/>
        <v>143</v>
      </c>
      <c r="B144" s="40" t="s">
        <v>605</v>
      </c>
      <c r="C144" s="51" t="s">
        <v>1362</v>
      </c>
      <c r="D144" s="52" t="s">
        <v>1363</v>
      </c>
      <c r="E144" s="52" t="s">
        <v>1364</v>
      </c>
      <c r="F144" s="52" t="s">
        <v>1365</v>
      </c>
      <c r="G144" s="52" t="s">
        <v>1366</v>
      </c>
      <c r="H144" s="59" t="s">
        <v>1367</v>
      </c>
      <c r="I144" s="53" t="s">
        <v>720</v>
      </c>
      <c r="J144" s="53" t="s">
        <v>657</v>
      </c>
      <c r="K144" s="54" t="s">
        <v>614</v>
      </c>
      <c r="L144" s="52" t="s">
        <v>615</v>
      </c>
      <c r="M144" s="45"/>
      <c r="N144" s="46"/>
      <c r="O144" s="47"/>
      <c r="P144" s="57"/>
      <c r="Q144" s="63"/>
      <c r="R144" s="47"/>
      <c r="S144" s="50"/>
    </row>
    <row r="145" spans="1:20" ht="15" customHeight="1" x14ac:dyDescent="0.4">
      <c r="A145">
        <f t="shared" si="2"/>
        <v>144</v>
      </c>
      <c r="B145" s="40" t="s">
        <v>605</v>
      </c>
      <c r="C145" s="114" t="s">
        <v>1368</v>
      </c>
      <c r="D145" s="76" t="s">
        <v>1369</v>
      </c>
      <c r="E145" s="76" t="s">
        <v>1370</v>
      </c>
      <c r="F145" s="76" t="s">
        <v>1371</v>
      </c>
      <c r="G145" s="76" t="s">
        <v>1372</v>
      </c>
      <c r="H145" s="115" t="s">
        <v>1373</v>
      </c>
      <c r="I145" s="116" t="s">
        <v>649</v>
      </c>
      <c r="J145" s="116" t="s">
        <v>676</v>
      </c>
      <c r="K145" s="52" t="s">
        <v>614</v>
      </c>
      <c r="L145" s="76" t="s">
        <v>615</v>
      </c>
      <c r="M145" s="117"/>
      <c r="N145" s="46"/>
      <c r="O145" s="47"/>
      <c r="P145" s="72"/>
      <c r="Q145" s="63"/>
      <c r="R145" s="47"/>
      <c r="S145" s="50"/>
    </row>
    <row r="146" spans="1:20" ht="15" customHeight="1" x14ac:dyDescent="0.4">
      <c r="A146">
        <f t="shared" si="2"/>
        <v>145</v>
      </c>
      <c r="B146" s="40" t="s">
        <v>605</v>
      </c>
      <c r="C146" s="51" t="s">
        <v>1374</v>
      </c>
      <c r="D146" s="52" t="s">
        <v>1369</v>
      </c>
      <c r="E146" s="52" t="s">
        <v>1375</v>
      </c>
      <c r="F146" s="52" t="s">
        <v>1376</v>
      </c>
      <c r="G146" s="52" t="s">
        <v>1377</v>
      </c>
      <c r="H146" s="53" t="s">
        <v>1378</v>
      </c>
      <c r="I146" s="52" t="s">
        <v>703</v>
      </c>
      <c r="J146" s="52" t="s">
        <v>669</v>
      </c>
      <c r="K146" s="54" t="s">
        <v>614</v>
      </c>
      <c r="L146" s="52" t="s">
        <v>615</v>
      </c>
      <c r="M146" s="45"/>
      <c r="N146" s="46"/>
      <c r="O146" s="47"/>
      <c r="P146" s="57"/>
      <c r="Q146" s="58"/>
      <c r="R146" s="47"/>
      <c r="S146" s="50"/>
    </row>
    <row r="147" spans="1:20" ht="15" customHeight="1" x14ac:dyDescent="0.4">
      <c r="A147">
        <f t="shared" si="2"/>
        <v>146</v>
      </c>
      <c r="B147" s="40" t="s">
        <v>605</v>
      </c>
      <c r="C147" s="51" t="s">
        <v>1379</v>
      </c>
      <c r="D147" s="52" t="s">
        <v>1380</v>
      </c>
      <c r="E147" s="52" t="s">
        <v>1381</v>
      </c>
      <c r="F147" s="52" t="s">
        <v>1382</v>
      </c>
      <c r="G147" s="52" t="s">
        <v>1383</v>
      </c>
      <c r="H147" s="53" t="s">
        <v>1384</v>
      </c>
      <c r="I147" s="52" t="s">
        <v>703</v>
      </c>
      <c r="J147" s="52" t="s">
        <v>684</v>
      </c>
      <c r="K147" s="54" t="s">
        <v>614</v>
      </c>
      <c r="L147" s="52" t="s">
        <v>615</v>
      </c>
      <c r="M147" s="45"/>
      <c r="N147" s="46"/>
      <c r="O147" s="47"/>
      <c r="P147" s="57"/>
      <c r="Q147" s="63"/>
      <c r="R147" s="47"/>
      <c r="S147" s="64"/>
      <c r="T147" s="98"/>
    </row>
    <row r="148" spans="1:20" ht="15" customHeight="1" x14ac:dyDescent="0.4">
      <c r="A148">
        <f t="shared" si="2"/>
        <v>147</v>
      </c>
      <c r="B148" s="40" t="s">
        <v>605</v>
      </c>
      <c r="C148" s="51" t="s">
        <v>1385</v>
      </c>
      <c r="D148" s="52" t="s">
        <v>1386</v>
      </c>
      <c r="E148" s="52" t="s">
        <v>1387</v>
      </c>
      <c r="F148" s="52" t="s">
        <v>1388</v>
      </c>
      <c r="G148" s="52" t="s">
        <v>1389</v>
      </c>
      <c r="H148" s="83" t="s">
        <v>1390</v>
      </c>
      <c r="I148" s="52" t="s">
        <v>612</v>
      </c>
      <c r="J148" s="53" t="s">
        <v>697</v>
      </c>
      <c r="K148" s="44" t="s">
        <v>614</v>
      </c>
      <c r="L148" s="52" t="s">
        <v>615</v>
      </c>
      <c r="M148" s="45"/>
      <c r="N148" s="118"/>
      <c r="O148" s="42"/>
      <c r="P148" s="57"/>
      <c r="Q148" s="58"/>
      <c r="R148" s="68"/>
      <c r="S148" s="69"/>
      <c r="T148" s="33"/>
    </row>
    <row r="149" spans="1:20" ht="15" customHeight="1" x14ac:dyDescent="0.4">
      <c r="A149">
        <f t="shared" si="2"/>
        <v>148</v>
      </c>
      <c r="B149" s="40" t="s">
        <v>605</v>
      </c>
      <c r="C149" s="41" t="s">
        <v>273</v>
      </c>
      <c r="D149" s="52" t="s">
        <v>1391</v>
      </c>
      <c r="E149" s="42" t="s">
        <v>716</v>
      </c>
      <c r="F149" s="42" t="s">
        <v>1208</v>
      </c>
      <c r="G149" s="42" t="s">
        <v>1392</v>
      </c>
      <c r="H149" s="119" t="s">
        <v>34</v>
      </c>
      <c r="I149" s="52" t="s">
        <v>1219</v>
      </c>
      <c r="J149" s="52" t="s">
        <v>778</v>
      </c>
      <c r="K149" s="54" t="s">
        <v>614</v>
      </c>
      <c r="L149" s="52" t="s">
        <v>615</v>
      </c>
      <c r="M149" s="45"/>
      <c r="N149" s="46"/>
      <c r="O149" s="47"/>
      <c r="P149" s="57"/>
      <c r="Q149" s="63"/>
      <c r="R149" s="47"/>
      <c r="S149" s="69"/>
      <c r="T149" s="33"/>
    </row>
    <row r="150" spans="1:20" ht="15" customHeight="1" x14ac:dyDescent="0.4">
      <c r="A150">
        <f t="shared" si="2"/>
        <v>149</v>
      </c>
      <c r="B150" s="40" t="s">
        <v>605</v>
      </c>
      <c r="C150" s="51" t="s">
        <v>1393</v>
      </c>
      <c r="D150" s="52" t="s">
        <v>1175</v>
      </c>
      <c r="E150" s="52" t="s">
        <v>1394</v>
      </c>
      <c r="F150" s="52" t="s">
        <v>1395</v>
      </c>
      <c r="G150" s="52" t="s">
        <v>1396</v>
      </c>
      <c r="H150" s="60" t="s">
        <v>1397</v>
      </c>
      <c r="I150" s="52" t="s">
        <v>720</v>
      </c>
      <c r="J150" s="52" t="s">
        <v>676</v>
      </c>
      <c r="K150" s="54" t="s">
        <v>614</v>
      </c>
      <c r="L150" s="52" t="s">
        <v>615</v>
      </c>
      <c r="M150" s="56"/>
      <c r="N150" s="46"/>
      <c r="O150" s="47"/>
      <c r="P150" s="47"/>
      <c r="Q150" s="48"/>
      <c r="R150" s="49"/>
      <c r="S150" s="50"/>
    </row>
    <row r="151" spans="1:20" ht="15" customHeight="1" x14ac:dyDescent="0.4">
      <c r="A151">
        <f t="shared" si="2"/>
        <v>150</v>
      </c>
      <c r="B151" s="40" t="s">
        <v>605</v>
      </c>
      <c r="C151" s="51" t="s">
        <v>1398</v>
      </c>
      <c r="D151" s="52" t="s">
        <v>1399</v>
      </c>
      <c r="E151" s="52" t="s">
        <v>1400</v>
      </c>
      <c r="F151" s="52" t="s">
        <v>1401</v>
      </c>
      <c r="G151" s="52" t="s">
        <v>1402</v>
      </c>
      <c r="H151" s="53" t="s">
        <v>1403</v>
      </c>
      <c r="I151" s="52" t="s">
        <v>641</v>
      </c>
      <c r="J151" s="52" t="s">
        <v>664</v>
      </c>
      <c r="K151" s="44" t="s">
        <v>614</v>
      </c>
      <c r="L151" s="52" t="s">
        <v>643</v>
      </c>
      <c r="M151" s="56"/>
      <c r="N151" s="46"/>
      <c r="O151" s="47"/>
      <c r="P151" s="57"/>
      <c r="Q151" s="63"/>
      <c r="R151" s="68"/>
      <c r="S151" s="50"/>
    </row>
    <row r="152" spans="1:20" ht="15" customHeight="1" x14ac:dyDescent="0.4">
      <c r="A152">
        <f t="shared" si="2"/>
        <v>151</v>
      </c>
      <c r="B152" s="40" t="s">
        <v>605</v>
      </c>
      <c r="C152" s="51" t="s">
        <v>1404</v>
      </c>
      <c r="D152" s="52" t="s">
        <v>1399</v>
      </c>
      <c r="E152" s="52" t="s">
        <v>838</v>
      </c>
      <c r="F152" s="52" t="s">
        <v>1405</v>
      </c>
      <c r="G152" s="52" t="s">
        <v>1406</v>
      </c>
      <c r="H152" s="103" t="s">
        <v>1407</v>
      </c>
      <c r="I152" s="52" t="s">
        <v>1026</v>
      </c>
      <c r="J152" s="53" t="s">
        <v>613</v>
      </c>
      <c r="K152" s="54" t="s">
        <v>614</v>
      </c>
      <c r="L152" s="52" t="s">
        <v>615</v>
      </c>
      <c r="M152" s="45"/>
      <c r="N152" s="46"/>
      <c r="O152" s="47"/>
      <c r="P152" s="72"/>
      <c r="Q152" s="63"/>
      <c r="R152" s="47"/>
      <c r="S152" s="50"/>
    </row>
    <row r="153" spans="1:20" ht="15" customHeight="1" x14ac:dyDescent="0.4">
      <c r="A153">
        <f t="shared" si="2"/>
        <v>152</v>
      </c>
      <c r="B153" s="40" t="s">
        <v>605</v>
      </c>
      <c r="C153" s="41" t="s">
        <v>1408</v>
      </c>
      <c r="D153" s="44" t="s">
        <v>1409</v>
      </c>
      <c r="E153" s="44" t="s">
        <v>1410</v>
      </c>
      <c r="F153" s="44" t="s">
        <v>1411</v>
      </c>
      <c r="G153" s="44" t="s">
        <v>1412</v>
      </c>
      <c r="H153" s="43" t="s">
        <v>1413</v>
      </c>
      <c r="I153" s="52" t="s">
        <v>861</v>
      </c>
      <c r="J153" s="52" t="s">
        <v>751</v>
      </c>
      <c r="K153" s="44" t="s">
        <v>614</v>
      </c>
      <c r="L153" s="52" t="s">
        <v>615</v>
      </c>
      <c r="M153" s="45"/>
      <c r="N153" s="46"/>
      <c r="O153" s="47"/>
      <c r="P153" s="78"/>
      <c r="Q153" s="63"/>
      <c r="R153" s="47"/>
      <c r="S153" s="50"/>
    </row>
    <row r="154" spans="1:20" ht="15" customHeight="1" x14ac:dyDescent="0.4">
      <c r="A154">
        <f t="shared" si="2"/>
        <v>153</v>
      </c>
      <c r="B154" s="40" t="s">
        <v>605</v>
      </c>
      <c r="C154" s="51" t="s">
        <v>1414</v>
      </c>
      <c r="D154" s="52" t="s">
        <v>1415</v>
      </c>
      <c r="E154" s="52" t="s">
        <v>1416</v>
      </c>
      <c r="F154" s="52" t="s">
        <v>1417</v>
      </c>
      <c r="G154" s="52" t="s">
        <v>1418</v>
      </c>
      <c r="H154" s="75" t="s">
        <v>1419</v>
      </c>
      <c r="I154" s="76" t="s">
        <v>641</v>
      </c>
      <c r="J154" s="109" t="s">
        <v>1237</v>
      </c>
      <c r="K154" s="54" t="s">
        <v>614</v>
      </c>
      <c r="L154" s="76" t="s">
        <v>643</v>
      </c>
      <c r="M154" s="45"/>
      <c r="N154" s="46"/>
      <c r="O154" s="47"/>
      <c r="P154" s="78"/>
      <c r="Q154" s="63"/>
      <c r="R154" s="47"/>
      <c r="S154" s="50"/>
    </row>
    <row r="155" spans="1:20" ht="15" customHeight="1" x14ac:dyDescent="0.4">
      <c r="A155">
        <f t="shared" si="2"/>
        <v>154</v>
      </c>
      <c r="B155" s="40" t="s">
        <v>605</v>
      </c>
      <c r="C155" s="51" t="s">
        <v>1420</v>
      </c>
      <c r="D155" s="52" t="s">
        <v>1421</v>
      </c>
      <c r="E155" s="53" t="s">
        <v>1421</v>
      </c>
      <c r="F155" s="53" t="s">
        <v>1422</v>
      </c>
      <c r="G155" s="53" t="s">
        <v>1423</v>
      </c>
      <c r="H155" s="60" t="s">
        <v>1424</v>
      </c>
      <c r="I155" s="52" t="s">
        <v>649</v>
      </c>
      <c r="J155" s="52" t="s">
        <v>763</v>
      </c>
      <c r="K155" s="44" t="s">
        <v>614</v>
      </c>
      <c r="L155" s="44" t="s">
        <v>615</v>
      </c>
      <c r="M155" s="45"/>
      <c r="N155" s="46"/>
      <c r="O155" s="47"/>
      <c r="P155" s="57"/>
      <c r="Q155" s="63"/>
      <c r="R155" s="47"/>
      <c r="S155" s="50"/>
    </row>
    <row r="156" spans="1:20" ht="15" customHeight="1" x14ac:dyDescent="0.4">
      <c r="A156">
        <f t="shared" si="2"/>
        <v>155</v>
      </c>
      <c r="B156" s="40" t="s">
        <v>605</v>
      </c>
      <c r="C156" s="41" t="s">
        <v>1425</v>
      </c>
      <c r="D156" s="42" t="s">
        <v>1279</v>
      </c>
      <c r="E156" s="42" t="s">
        <v>1426</v>
      </c>
      <c r="F156" s="42" t="s">
        <v>1427</v>
      </c>
      <c r="G156" s="42" t="s">
        <v>1428</v>
      </c>
      <c r="H156" s="61" t="s">
        <v>1429</v>
      </c>
      <c r="I156" s="42" t="s">
        <v>649</v>
      </c>
      <c r="J156" s="42" t="s">
        <v>697</v>
      </c>
      <c r="K156" s="44" t="s">
        <v>614</v>
      </c>
      <c r="L156" s="42" t="s">
        <v>615</v>
      </c>
      <c r="M156" s="45"/>
      <c r="N156" s="46"/>
      <c r="O156" s="47"/>
      <c r="P156" s="57"/>
      <c r="Q156" s="63"/>
      <c r="R156" s="47"/>
      <c r="S156" s="50"/>
    </row>
    <row r="157" spans="1:20" ht="15" customHeight="1" x14ac:dyDescent="0.4">
      <c r="A157">
        <f t="shared" si="2"/>
        <v>156</v>
      </c>
      <c r="B157" s="40" t="s">
        <v>605</v>
      </c>
      <c r="C157" s="41" t="s">
        <v>1430</v>
      </c>
      <c r="D157" s="42" t="s">
        <v>1279</v>
      </c>
      <c r="E157" s="42" t="s">
        <v>1104</v>
      </c>
      <c r="F157" s="42" t="s">
        <v>1431</v>
      </c>
      <c r="G157" s="42" t="s">
        <v>1432</v>
      </c>
      <c r="H157" s="59" t="s">
        <v>1433</v>
      </c>
      <c r="I157" s="42" t="s">
        <v>799</v>
      </c>
      <c r="J157" s="42" t="s">
        <v>751</v>
      </c>
      <c r="K157" s="54" t="s">
        <v>614</v>
      </c>
      <c r="L157" s="42" t="s">
        <v>615</v>
      </c>
      <c r="M157" s="45"/>
      <c r="N157" s="46"/>
      <c r="O157" s="47"/>
      <c r="P157" s="57"/>
      <c r="Q157" s="63"/>
      <c r="R157" s="47"/>
      <c r="S157" s="50"/>
    </row>
    <row r="158" spans="1:20" ht="15" customHeight="1" x14ac:dyDescent="0.4">
      <c r="A158">
        <f t="shared" si="2"/>
        <v>157</v>
      </c>
      <c r="B158" s="40" t="s">
        <v>605</v>
      </c>
      <c r="C158" s="41" t="s">
        <v>377</v>
      </c>
      <c r="D158" s="42" t="s">
        <v>1434</v>
      </c>
      <c r="E158" s="42" t="s">
        <v>838</v>
      </c>
      <c r="F158" s="42" t="s">
        <v>1435</v>
      </c>
      <c r="G158" s="42" t="s">
        <v>1436</v>
      </c>
      <c r="H158" s="75" t="s">
        <v>134</v>
      </c>
      <c r="I158" s="52" t="s">
        <v>641</v>
      </c>
      <c r="J158" s="52" t="s">
        <v>778</v>
      </c>
      <c r="K158" s="44" t="s">
        <v>614</v>
      </c>
      <c r="L158" s="52" t="s">
        <v>615</v>
      </c>
      <c r="M158" s="45"/>
      <c r="N158" s="46"/>
      <c r="O158" s="47"/>
      <c r="P158" s="57"/>
      <c r="Q158" s="63"/>
      <c r="R158" s="47"/>
      <c r="S158" s="50"/>
    </row>
    <row r="159" spans="1:20" ht="15" customHeight="1" x14ac:dyDescent="0.4">
      <c r="A159">
        <f t="shared" si="2"/>
        <v>158</v>
      </c>
      <c r="B159" s="40" t="s">
        <v>605</v>
      </c>
      <c r="C159" s="51" t="s">
        <v>1437</v>
      </c>
      <c r="D159" s="52" t="s">
        <v>1310</v>
      </c>
      <c r="E159" s="52" t="s">
        <v>1438</v>
      </c>
      <c r="F159" s="52" t="s">
        <v>1439</v>
      </c>
      <c r="G159" s="52" t="s">
        <v>1440</v>
      </c>
      <c r="H159" s="53" t="s">
        <v>1441</v>
      </c>
      <c r="I159" s="42" t="s">
        <v>703</v>
      </c>
      <c r="J159" s="42" t="s">
        <v>704</v>
      </c>
      <c r="K159" s="44" t="s">
        <v>614</v>
      </c>
      <c r="L159" s="42" t="s">
        <v>615</v>
      </c>
      <c r="M159" s="62"/>
      <c r="N159" s="46"/>
      <c r="O159" s="47"/>
      <c r="P159" s="57"/>
      <c r="Q159" s="63"/>
      <c r="R159" s="47"/>
      <c r="S159" s="50"/>
    </row>
    <row r="160" spans="1:20" ht="15" customHeight="1" x14ac:dyDescent="0.4">
      <c r="A160">
        <f t="shared" si="2"/>
        <v>159</v>
      </c>
      <c r="B160" s="40" t="s">
        <v>605</v>
      </c>
      <c r="C160" s="51" t="s">
        <v>1442</v>
      </c>
      <c r="D160" s="53" t="s">
        <v>815</v>
      </c>
      <c r="E160" s="53" t="s">
        <v>1443</v>
      </c>
      <c r="F160" s="53" t="s">
        <v>1444</v>
      </c>
      <c r="G160" s="53" t="s">
        <v>1445</v>
      </c>
      <c r="H160" s="83" t="s">
        <v>1446</v>
      </c>
      <c r="I160" s="53" t="s">
        <v>799</v>
      </c>
      <c r="J160" s="53" t="s">
        <v>669</v>
      </c>
      <c r="K160" s="54" t="s">
        <v>614</v>
      </c>
      <c r="L160" s="52" t="s">
        <v>615</v>
      </c>
      <c r="M160" s="56"/>
      <c r="N160" s="46"/>
      <c r="O160" s="47"/>
      <c r="P160" s="57"/>
      <c r="Q160" s="63"/>
      <c r="R160" s="47"/>
      <c r="S160" s="81"/>
    </row>
    <row r="161" spans="1:20" ht="15" customHeight="1" x14ac:dyDescent="0.4">
      <c r="A161">
        <f t="shared" si="2"/>
        <v>160</v>
      </c>
      <c r="B161" s="40" t="s">
        <v>605</v>
      </c>
      <c r="C161" s="51" t="s">
        <v>1447</v>
      </c>
      <c r="D161" s="52" t="s">
        <v>815</v>
      </c>
      <c r="E161" s="52" t="s">
        <v>1448</v>
      </c>
      <c r="F161" s="52" t="s">
        <v>1449</v>
      </c>
      <c r="G161" s="52" t="s">
        <v>1450</v>
      </c>
      <c r="H161" s="106" t="s">
        <v>1451</v>
      </c>
      <c r="I161" s="52" t="s">
        <v>703</v>
      </c>
      <c r="J161" s="52" t="s">
        <v>676</v>
      </c>
      <c r="K161" s="44" t="s">
        <v>614</v>
      </c>
      <c r="L161" s="52" t="s">
        <v>615</v>
      </c>
      <c r="M161" s="45"/>
      <c r="N161" s="118"/>
      <c r="O161" s="52"/>
      <c r="P161" s="57"/>
      <c r="Q161" s="58"/>
      <c r="R161" s="47"/>
      <c r="S161" s="74"/>
      <c r="T161" s="33"/>
    </row>
    <row r="162" spans="1:20" ht="15" customHeight="1" x14ac:dyDescent="0.4">
      <c r="A162">
        <f t="shared" si="2"/>
        <v>161</v>
      </c>
      <c r="B162" s="40" t="s">
        <v>605</v>
      </c>
      <c r="C162" s="41" t="s">
        <v>1452</v>
      </c>
      <c r="D162" s="42" t="s">
        <v>1453</v>
      </c>
      <c r="E162" s="42" t="s">
        <v>1454</v>
      </c>
      <c r="F162" s="42" t="s">
        <v>1455</v>
      </c>
      <c r="G162" s="42" t="s">
        <v>1456</v>
      </c>
      <c r="H162" s="82" t="s">
        <v>1457</v>
      </c>
      <c r="I162" s="52" t="s">
        <v>812</v>
      </c>
      <c r="J162" s="52" t="s">
        <v>623</v>
      </c>
      <c r="K162" s="54" t="s">
        <v>614</v>
      </c>
      <c r="L162" s="52" t="s">
        <v>615</v>
      </c>
      <c r="M162" s="45"/>
      <c r="N162" s="46"/>
      <c r="O162" s="47"/>
      <c r="P162" s="57"/>
      <c r="Q162" s="63"/>
      <c r="R162" s="47"/>
      <c r="S162" s="81"/>
    </row>
    <row r="163" spans="1:20" ht="15" customHeight="1" x14ac:dyDescent="0.4">
      <c r="A163">
        <f t="shared" si="2"/>
        <v>162</v>
      </c>
      <c r="B163" s="40" t="s">
        <v>605</v>
      </c>
      <c r="C163" s="51" t="s">
        <v>1458</v>
      </c>
      <c r="D163" s="52" t="s">
        <v>1343</v>
      </c>
      <c r="E163" s="52" t="s">
        <v>1459</v>
      </c>
      <c r="F163" s="52" t="s">
        <v>1460</v>
      </c>
      <c r="G163" s="52" t="s">
        <v>1461</v>
      </c>
      <c r="H163" s="120" t="s">
        <v>1462</v>
      </c>
      <c r="I163" s="52" t="s">
        <v>703</v>
      </c>
      <c r="J163" s="52" t="s">
        <v>825</v>
      </c>
      <c r="K163" s="52" t="s">
        <v>614</v>
      </c>
      <c r="L163" s="52" t="s">
        <v>615</v>
      </c>
      <c r="M163" s="45"/>
      <c r="N163" s="46"/>
      <c r="O163" s="47"/>
      <c r="P163" s="57"/>
      <c r="Q163" s="63"/>
      <c r="R163" s="47"/>
      <c r="S163" s="50"/>
    </row>
    <row r="164" spans="1:20" ht="15" customHeight="1" x14ac:dyDescent="0.4">
      <c r="A164">
        <f t="shared" si="2"/>
        <v>163</v>
      </c>
      <c r="B164" s="40" t="s">
        <v>605</v>
      </c>
      <c r="C164" s="51" t="s">
        <v>1463</v>
      </c>
      <c r="D164" s="52" t="s">
        <v>1343</v>
      </c>
      <c r="E164" s="52" t="s">
        <v>1464</v>
      </c>
      <c r="F164" s="52" t="s">
        <v>1465</v>
      </c>
      <c r="G164" s="52" t="s">
        <v>1466</v>
      </c>
      <c r="H164" s="53" t="s">
        <v>1467</v>
      </c>
      <c r="I164" s="52" t="s">
        <v>1468</v>
      </c>
      <c r="J164" s="52" t="s">
        <v>669</v>
      </c>
      <c r="K164" s="54" t="s">
        <v>614</v>
      </c>
      <c r="L164" s="52" t="s">
        <v>615</v>
      </c>
      <c r="M164" s="80"/>
      <c r="N164" s="46"/>
      <c r="O164" s="47"/>
      <c r="P164" s="57"/>
      <c r="Q164" s="63"/>
      <c r="R164" s="47"/>
      <c r="S164" s="50"/>
    </row>
    <row r="165" spans="1:20" ht="15" customHeight="1" x14ac:dyDescent="0.4">
      <c r="A165">
        <f t="shared" si="2"/>
        <v>164</v>
      </c>
      <c r="B165" s="40" t="s">
        <v>605</v>
      </c>
      <c r="C165" s="121" t="s">
        <v>1469</v>
      </c>
      <c r="D165" s="122" t="s">
        <v>1470</v>
      </c>
      <c r="E165" s="122" t="s">
        <v>1471</v>
      </c>
      <c r="F165" s="122" t="s">
        <v>1472</v>
      </c>
      <c r="G165" s="122" t="s">
        <v>1473</v>
      </c>
      <c r="H165" s="123" t="s">
        <v>1474</v>
      </c>
      <c r="I165" s="124" t="s">
        <v>612</v>
      </c>
      <c r="J165" s="124" t="s">
        <v>684</v>
      </c>
      <c r="K165" s="124" t="s">
        <v>614</v>
      </c>
      <c r="L165" s="125" t="s">
        <v>615</v>
      </c>
      <c r="M165" s="112"/>
      <c r="N165" s="46"/>
      <c r="O165" s="47"/>
      <c r="P165" s="57"/>
      <c r="Q165" s="63"/>
      <c r="R165" s="47"/>
      <c r="S165" s="50"/>
    </row>
    <row r="166" spans="1:20" ht="15" customHeight="1" x14ac:dyDescent="0.4">
      <c r="A166">
        <f t="shared" si="2"/>
        <v>165</v>
      </c>
      <c r="B166" s="40" t="s">
        <v>605</v>
      </c>
      <c r="C166" s="51" t="s">
        <v>1475</v>
      </c>
      <c r="D166" s="52" t="s">
        <v>1476</v>
      </c>
      <c r="E166" s="52" t="s">
        <v>645</v>
      </c>
      <c r="F166" s="52" t="s">
        <v>1477</v>
      </c>
      <c r="G166" s="42" t="s">
        <v>1478</v>
      </c>
      <c r="H166" s="90" t="s">
        <v>1479</v>
      </c>
      <c r="I166" s="42" t="s">
        <v>649</v>
      </c>
      <c r="J166" s="42" t="s">
        <v>623</v>
      </c>
      <c r="K166" s="44" t="s">
        <v>1196</v>
      </c>
      <c r="L166" s="42" t="s">
        <v>615</v>
      </c>
      <c r="M166" s="62"/>
      <c r="N166" s="126"/>
      <c r="O166" s="52"/>
      <c r="P166" s="57"/>
      <c r="Q166" s="63"/>
      <c r="R166" s="47"/>
      <c r="S166" s="69"/>
      <c r="T166" s="33"/>
    </row>
    <row r="167" spans="1:20" ht="15" customHeight="1" x14ac:dyDescent="0.4">
      <c r="A167">
        <f t="shared" si="2"/>
        <v>166</v>
      </c>
      <c r="B167" s="40" t="s">
        <v>605</v>
      </c>
      <c r="C167" s="51" t="s">
        <v>1480</v>
      </c>
      <c r="D167" s="52" t="s">
        <v>1476</v>
      </c>
      <c r="E167" s="52" t="s">
        <v>1481</v>
      </c>
      <c r="F167" s="52" t="s">
        <v>1482</v>
      </c>
      <c r="G167" s="52" t="s">
        <v>1483</v>
      </c>
      <c r="H167" s="53" t="s">
        <v>1484</v>
      </c>
      <c r="I167" s="52" t="s">
        <v>799</v>
      </c>
      <c r="J167" s="52" t="s">
        <v>1237</v>
      </c>
      <c r="K167" s="52" t="s">
        <v>614</v>
      </c>
      <c r="L167" s="52" t="s">
        <v>615</v>
      </c>
      <c r="M167" s="62"/>
      <c r="N167" s="46"/>
      <c r="O167" s="47"/>
      <c r="P167" s="57"/>
      <c r="Q167" s="63"/>
      <c r="R167" s="47"/>
      <c r="S167" s="50"/>
    </row>
    <row r="168" spans="1:20" ht="15" customHeight="1" x14ac:dyDescent="0.4">
      <c r="A168">
        <f t="shared" si="2"/>
        <v>167</v>
      </c>
      <c r="B168" s="40" t="s">
        <v>605</v>
      </c>
      <c r="C168" s="51" t="s">
        <v>1485</v>
      </c>
      <c r="D168" s="52" t="s">
        <v>645</v>
      </c>
      <c r="E168" s="52" t="s">
        <v>1486</v>
      </c>
      <c r="F168" s="52" t="s">
        <v>1487</v>
      </c>
      <c r="G168" s="52" t="s">
        <v>1488</v>
      </c>
      <c r="H168" s="82" t="s">
        <v>1489</v>
      </c>
      <c r="I168" s="52" t="s">
        <v>703</v>
      </c>
      <c r="J168" s="53" t="s">
        <v>704</v>
      </c>
      <c r="K168" s="54" t="s">
        <v>614</v>
      </c>
      <c r="L168" s="52" t="s">
        <v>615</v>
      </c>
      <c r="M168" s="45"/>
      <c r="N168" s="46"/>
      <c r="O168" s="47"/>
      <c r="P168" s="57"/>
      <c r="Q168" s="63"/>
      <c r="R168" s="47"/>
      <c r="S168" s="50"/>
    </row>
    <row r="169" spans="1:20" ht="15" customHeight="1" x14ac:dyDescent="0.4">
      <c r="A169">
        <f t="shared" si="2"/>
        <v>168</v>
      </c>
      <c r="B169" s="40" t="s">
        <v>605</v>
      </c>
      <c r="C169" s="51" t="s">
        <v>1490</v>
      </c>
      <c r="D169" s="52" t="s">
        <v>1491</v>
      </c>
      <c r="E169" s="52" t="s">
        <v>1492</v>
      </c>
      <c r="F169" s="52" t="s">
        <v>1493</v>
      </c>
      <c r="G169" s="52" t="s">
        <v>1494</v>
      </c>
      <c r="H169" s="83" t="s">
        <v>1495</v>
      </c>
      <c r="I169" s="52" t="s">
        <v>913</v>
      </c>
      <c r="J169" s="52" t="s">
        <v>684</v>
      </c>
      <c r="K169" s="54" t="s">
        <v>614</v>
      </c>
      <c r="L169" s="52" t="s">
        <v>615</v>
      </c>
      <c r="M169" s="45"/>
      <c r="N169" s="46"/>
      <c r="O169" s="47"/>
      <c r="P169" s="57"/>
      <c r="Q169" s="63"/>
      <c r="R169" s="47"/>
      <c r="S169" s="81"/>
    </row>
    <row r="170" spans="1:20" ht="15" customHeight="1" x14ac:dyDescent="0.4">
      <c r="A170">
        <f t="shared" si="2"/>
        <v>169</v>
      </c>
      <c r="B170" s="40" t="s">
        <v>605</v>
      </c>
      <c r="C170" s="51" t="s">
        <v>1496</v>
      </c>
      <c r="D170" s="52" t="s">
        <v>916</v>
      </c>
      <c r="E170" s="52" t="s">
        <v>1497</v>
      </c>
      <c r="F170" s="52" t="s">
        <v>1498</v>
      </c>
      <c r="G170" s="52" t="s">
        <v>1499</v>
      </c>
      <c r="H170" s="53" t="s">
        <v>1500</v>
      </c>
      <c r="I170" s="52" t="s">
        <v>720</v>
      </c>
      <c r="J170" s="52" t="s">
        <v>642</v>
      </c>
      <c r="K170" s="52" t="s">
        <v>614</v>
      </c>
      <c r="L170" s="52" t="s">
        <v>615</v>
      </c>
      <c r="M170" s="45"/>
      <c r="N170" s="46"/>
      <c r="O170" s="47"/>
      <c r="P170" s="72"/>
      <c r="Q170" s="58"/>
      <c r="R170" s="47"/>
      <c r="S170" s="50"/>
    </row>
    <row r="171" spans="1:20" ht="15" customHeight="1" x14ac:dyDescent="0.4">
      <c r="A171">
        <f t="shared" si="2"/>
        <v>170</v>
      </c>
      <c r="B171" s="40" t="s">
        <v>605</v>
      </c>
      <c r="C171" s="51" t="s">
        <v>350</v>
      </c>
      <c r="D171" s="53" t="s">
        <v>1501</v>
      </c>
      <c r="E171" s="53" t="s">
        <v>1502</v>
      </c>
      <c r="F171" s="53" t="s">
        <v>1503</v>
      </c>
      <c r="G171" s="53" t="s">
        <v>1504</v>
      </c>
      <c r="H171" s="82" t="s">
        <v>186</v>
      </c>
      <c r="I171" s="52" t="s">
        <v>1505</v>
      </c>
      <c r="J171" s="53" t="s">
        <v>778</v>
      </c>
      <c r="K171" s="54" t="s">
        <v>614</v>
      </c>
      <c r="L171" s="52" t="s">
        <v>643</v>
      </c>
      <c r="M171" s="56"/>
      <c r="N171" s="46"/>
      <c r="O171" s="47"/>
      <c r="P171" s="57"/>
      <c r="Q171" s="63"/>
      <c r="R171" s="47"/>
      <c r="S171" s="50"/>
    </row>
    <row r="172" spans="1:20" ht="15" customHeight="1" x14ac:dyDescent="0.4">
      <c r="A172">
        <f t="shared" si="2"/>
        <v>171</v>
      </c>
      <c r="B172" s="40" t="s">
        <v>605</v>
      </c>
      <c r="C172" s="51" t="s">
        <v>1506</v>
      </c>
      <c r="D172" s="52" t="s">
        <v>1501</v>
      </c>
      <c r="E172" s="52" t="s">
        <v>711</v>
      </c>
      <c r="F172" s="52" t="s">
        <v>1507</v>
      </c>
      <c r="G172" s="52" t="s">
        <v>1508</v>
      </c>
      <c r="H172" s="53" t="s">
        <v>1509</v>
      </c>
      <c r="I172" s="52" t="s">
        <v>1026</v>
      </c>
      <c r="J172" s="52" t="s">
        <v>631</v>
      </c>
      <c r="K172" s="54" t="s">
        <v>614</v>
      </c>
      <c r="L172" s="52" t="s">
        <v>615</v>
      </c>
      <c r="M172" s="45"/>
      <c r="N172" s="46"/>
      <c r="O172" s="47"/>
      <c r="P172" s="57"/>
      <c r="Q172" s="63"/>
      <c r="R172" s="47"/>
      <c r="S172" s="50"/>
    </row>
    <row r="173" spans="1:20" ht="15" customHeight="1" x14ac:dyDescent="0.4">
      <c r="A173">
        <f t="shared" si="2"/>
        <v>172</v>
      </c>
      <c r="B173" s="40" t="s">
        <v>605</v>
      </c>
      <c r="C173" s="51" t="s">
        <v>1510</v>
      </c>
      <c r="D173" s="52" t="s">
        <v>1501</v>
      </c>
      <c r="E173" s="52" t="s">
        <v>1454</v>
      </c>
      <c r="F173" s="52" t="s">
        <v>1511</v>
      </c>
      <c r="G173" s="52" t="s">
        <v>1512</v>
      </c>
      <c r="H173" s="127" t="s">
        <v>1513</v>
      </c>
      <c r="I173" s="52" t="s">
        <v>1026</v>
      </c>
      <c r="J173" s="52" t="s">
        <v>669</v>
      </c>
      <c r="K173" s="54" t="s">
        <v>614</v>
      </c>
      <c r="L173" s="52" t="s">
        <v>615</v>
      </c>
      <c r="M173" s="45"/>
      <c r="N173" s="46"/>
      <c r="O173" s="47"/>
      <c r="P173" s="57"/>
      <c r="Q173" s="63"/>
      <c r="R173" s="47"/>
      <c r="S173" s="50"/>
    </row>
    <row r="174" spans="1:20" ht="15" customHeight="1" x14ac:dyDescent="0.4">
      <c r="A174">
        <f t="shared" si="2"/>
        <v>173</v>
      </c>
      <c r="B174" s="40" t="s">
        <v>605</v>
      </c>
      <c r="C174" s="51" t="s">
        <v>1514</v>
      </c>
      <c r="D174" s="52" t="s">
        <v>1515</v>
      </c>
      <c r="E174" s="52" t="s">
        <v>832</v>
      </c>
      <c r="F174" s="52" t="s">
        <v>1516</v>
      </c>
      <c r="G174" s="52" t="s">
        <v>1517</v>
      </c>
      <c r="H174" s="43" t="s">
        <v>1518</v>
      </c>
      <c r="I174" s="52" t="s">
        <v>630</v>
      </c>
      <c r="J174" s="52" t="s">
        <v>613</v>
      </c>
      <c r="K174" s="53" t="s">
        <v>614</v>
      </c>
      <c r="L174" s="52" t="s">
        <v>615</v>
      </c>
      <c r="M174" s="62"/>
      <c r="N174" s="46"/>
      <c r="O174" s="47"/>
      <c r="P174" s="57"/>
      <c r="Q174" s="58"/>
      <c r="R174" s="47"/>
      <c r="S174" s="81"/>
    </row>
    <row r="175" spans="1:20" ht="15" customHeight="1" x14ac:dyDescent="0.4">
      <c r="A175">
        <f t="shared" si="2"/>
        <v>174</v>
      </c>
      <c r="B175" s="40" t="s">
        <v>605</v>
      </c>
      <c r="C175" s="51" t="s">
        <v>1519</v>
      </c>
      <c r="D175" s="52" t="s">
        <v>1515</v>
      </c>
      <c r="E175" s="52" t="s">
        <v>1520</v>
      </c>
      <c r="F175" s="52" t="s">
        <v>1521</v>
      </c>
      <c r="G175" s="52" t="s">
        <v>1522</v>
      </c>
      <c r="H175" s="82" t="s">
        <v>1523</v>
      </c>
      <c r="I175" s="53" t="s">
        <v>720</v>
      </c>
      <c r="J175" s="52" t="s">
        <v>825</v>
      </c>
      <c r="K175" s="54" t="s">
        <v>614</v>
      </c>
      <c r="L175" s="52" t="s">
        <v>615</v>
      </c>
      <c r="M175" s="45"/>
      <c r="N175" s="46"/>
      <c r="O175" s="47"/>
      <c r="P175" s="57"/>
      <c r="Q175" s="63"/>
      <c r="R175" s="47"/>
      <c r="S175" s="50"/>
    </row>
    <row r="176" spans="1:20" ht="15" customHeight="1" x14ac:dyDescent="0.4">
      <c r="A176">
        <f t="shared" si="2"/>
        <v>175</v>
      </c>
      <c r="B176" s="40" t="s">
        <v>605</v>
      </c>
      <c r="C176" s="51" t="s">
        <v>1524</v>
      </c>
      <c r="D176" s="52" t="s">
        <v>1515</v>
      </c>
      <c r="E176" s="52" t="s">
        <v>1065</v>
      </c>
      <c r="F176" s="52" t="s">
        <v>1525</v>
      </c>
      <c r="G176" s="52" t="s">
        <v>1526</v>
      </c>
      <c r="H176" s="53" t="s">
        <v>1527</v>
      </c>
      <c r="I176" s="52" t="s">
        <v>1528</v>
      </c>
      <c r="J176" s="52" t="s">
        <v>763</v>
      </c>
      <c r="K176" s="54" t="s">
        <v>614</v>
      </c>
      <c r="L176" s="52" t="s">
        <v>615</v>
      </c>
      <c r="M176" s="45"/>
      <c r="N176" s="46"/>
      <c r="O176" s="47"/>
      <c r="P176" s="57"/>
      <c r="Q176" s="63"/>
      <c r="R176" s="47"/>
      <c r="S176" s="50"/>
    </row>
    <row r="177" spans="1:19" ht="15" customHeight="1" x14ac:dyDescent="0.4">
      <c r="A177">
        <f t="shared" si="2"/>
        <v>176</v>
      </c>
      <c r="B177" s="40" t="s">
        <v>605</v>
      </c>
      <c r="C177" s="51" t="s">
        <v>1529</v>
      </c>
      <c r="D177" s="52" t="s">
        <v>827</v>
      </c>
      <c r="E177" s="52" t="s">
        <v>963</v>
      </c>
      <c r="F177" s="52" t="s">
        <v>1058</v>
      </c>
      <c r="G177" s="52" t="s">
        <v>1530</v>
      </c>
      <c r="H177" s="103" t="s">
        <v>1531</v>
      </c>
      <c r="I177" s="52" t="s">
        <v>861</v>
      </c>
      <c r="J177" s="52" t="s">
        <v>704</v>
      </c>
      <c r="K177" s="54" t="s">
        <v>614</v>
      </c>
      <c r="L177" s="52" t="s">
        <v>615</v>
      </c>
      <c r="M177" s="45"/>
      <c r="N177" s="46"/>
      <c r="O177" s="47"/>
      <c r="P177" s="57"/>
      <c r="Q177" s="63"/>
      <c r="R177" s="47"/>
      <c r="S177" s="50"/>
    </row>
    <row r="178" spans="1:19" ht="15" customHeight="1" x14ac:dyDescent="0.4">
      <c r="A178">
        <f t="shared" si="2"/>
        <v>177</v>
      </c>
      <c r="B178" s="40" t="s">
        <v>605</v>
      </c>
      <c r="C178" s="51" t="s">
        <v>1532</v>
      </c>
      <c r="D178" s="52" t="s">
        <v>827</v>
      </c>
      <c r="E178" s="52" t="s">
        <v>716</v>
      </c>
      <c r="F178" s="52" t="s">
        <v>1533</v>
      </c>
      <c r="G178" s="52" t="s">
        <v>1534</v>
      </c>
      <c r="H178" s="82" t="s">
        <v>1535</v>
      </c>
      <c r="I178" s="52" t="s">
        <v>768</v>
      </c>
      <c r="J178" s="52" t="s">
        <v>813</v>
      </c>
      <c r="K178" s="54" t="s">
        <v>614</v>
      </c>
      <c r="L178" s="52" t="s">
        <v>615</v>
      </c>
      <c r="M178" s="45"/>
      <c r="N178" s="46"/>
      <c r="O178" s="47"/>
      <c r="P178" s="57"/>
      <c r="Q178" s="63"/>
      <c r="R178" s="47"/>
      <c r="S178" s="81"/>
    </row>
    <row r="179" spans="1:19" ht="15" customHeight="1" x14ac:dyDescent="0.4">
      <c r="A179">
        <f t="shared" si="2"/>
        <v>178</v>
      </c>
      <c r="B179" s="40" t="s">
        <v>605</v>
      </c>
      <c r="C179" s="41" t="s">
        <v>1536</v>
      </c>
      <c r="D179" s="42" t="s">
        <v>827</v>
      </c>
      <c r="E179" s="42" t="s">
        <v>1537</v>
      </c>
      <c r="F179" s="42" t="s">
        <v>1538</v>
      </c>
      <c r="G179" s="42" t="s">
        <v>1539</v>
      </c>
      <c r="H179" s="61" t="s">
        <v>1540</v>
      </c>
      <c r="I179" s="52" t="s">
        <v>649</v>
      </c>
      <c r="J179" s="52" t="s">
        <v>631</v>
      </c>
      <c r="K179" s="54" t="s">
        <v>614</v>
      </c>
      <c r="L179" s="52" t="s">
        <v>615</v>
      </c>
      <c r="M179" s="45"/>
      <c r="N179" s="46"/>
      <c r="O179" s="47"/>
      <c r="P179" s="57"/>
      <c r="Q179" s="63"/>
      <c r="R179" s="47"/>
      <c r="S179" s="50"/>
    </row>
    <row r="180" spans="1:19" ht="15" customHeight="1" x14ac:dyDescent="0.4">
      <c r="A180">
        <f t="shared" si="2"/>
        <v>179</v>
      </c>
      <c r="B180" s="40" t="s">
        <v>605</v>
      </c>
      <c r="C180" s="51" t="s">
        <v>1541</v>
      </c>
      <c r="D180" s="52" t="s">
        <v>1104</v>
      </c>
      <c r="E180" s="52" t="s">
        <v>1542</v>
      </c>
      <c r="F180" s="52" t="s">
        <v>1543</v>
      </c>
      <c r="G180" s="52" t="s">
        <v>1544</v>
      </c>
      <c r="H180" s="53" t="s">
        <v>1545</v>
      </c>
      <c r="I180" s="52" t="s">
        <v>768</v>
      </c>
      <c r="J180" s="52" t="s">
        <v>650</v>
      </c>
      <c r="K180" s="54" t="s">
        <v>614</v>
      </c>
      <c r="L180" s="52" t="s">
        <v>615</v>
      </c>
      <c r="M180" s="56"/>
      <c r="N180" s="46"/>
      <c r="O180" s="47"/>
      <c r="P180" s="57"/>
      <c r="Q180" s="63"/>
      <c r="R180" s="47"/>
      <c r="S180" s="50"/>
    </row>
    <row r="181" spans="1:19" ht="15" customHeight="1" x14ac:dyDescent="0.4">
      <c r="A181">
        <f t="shared" si="2"/>
        <v>180</v>
      </c>
      <c r="B181" s="40" t="s">
        <v>605</v>
      </c>
      <c r="C181" s="51" t="s">
        <v>1546</v>
      </c>
      <c r="D181" s="52" t="s">
        <v>1104</v>
      </c>
      <c r="E181" s="52" t="s">
        <v>931</v>
      </c>
      <c r="F181" s="52" t="s">
        <v>1547</v>
      </c>
      <c r="G181" s="52" t="s">
        <v>1548</v>
      </c>
      <c r="H181" s="59" t="s">
        <v>1549</v>
      </c>
      <c r="I181" s="52" t="s">
        <v>649</v>
      </c>
      <c r="J181" s="52" t="s">
        <v>637</v>
      </c>
      <c r="K181" s="52" t="s">
        <v>614</v>
      </c>
      <c r="L181" s="52" t="s">
        <v>615</v>
      </c>
      <c r="M181" s="56"/>
      <c r="N181" s="46"/>
      <c r="O181" s="47"/>
      <c r="P181" s="57"/>
      <c r="Q181" s="63"/>
      <c r="R181" s="47"/>
      <c r="S181" s="50"/>
    </row>
    <row r="182" spans="1:19" ht="15" customHeight="1" x14ac:dyDescent="0.4">
      <c r="A182">
        <f t="shared" si="2"/>
        <v>181</v>
      </c>
      <c r="B182" s="40" t="s">
        <v>605</v>
      </c>
      <c r="C182" s="41" t="s">
        <v>1550</v>
      </c>
      <c r="D182" s="52" t="s">
        <v>1104</v>
      </c>
      <c r="E182" s="42" t="s">
        <v>1551</v>
      </c>
      <c r="F182" s="42" t="s">
        <v>1552</v>
      </c>
      <c r="G182" s="42" t="s">
        <v>1553</v>
      </c>
      <c r="H182" s="59" t="s">
        <v>1554</v>
      </c>
      <c r="I182" s="52" t="s">
        <v>1026</v>
      </c>
      <c r="J182" s="52" t="s">
        <v>751</v>
      </c>
      <c r="K182" s="54" t="s">
        <v>614</v>
      </c>
      <c r="L182" s="52" t="s">
        <v>615</v>
      </c>
      <c r="M182" s="45"/>
      <c r="N182" s="46"/>
      <c r="O182" s="47"/>
      <c r="P182" s="57"/>
      <c r="Q182" s="63"/>
      <c r="R182" s="47"/>
      <c r="S182" s="50"/>
    </row>
    <row r="183" spans="1:19" ht="15" customHeight="1" x14ac:dyDescent="0.4">
      <c r="A183">
        <f t="shared" si="2"/>
        <v>182</v>
      </c>
      <c r="B183" s="40" t="s">
        <v>605</v>
      </c>
      <c r="C183" s="41" t="s">
        <v>1555</v>
      </c>
      <c r="D183" s="52" t="s">
        <v>1104</v>
      </c>
      <c r="E183" s="42" t="s">
        <v>852</v>
      </c>
      <c r="F183" s="42" t="s">
        <v>1556</v>
      </c>
      <c r="G183" s="42" t="s">
        <v>1557</v>
      </c>
      <c r="H183" s="75" t="s">
        <v>1558</v>
      </c>
      <c r="I183" s="109" t="s">
        <v>799</v>
      </c>
      <c r="J183" s="109" t="s">
        <v>676</v>
      </c>
      <c r="K183" s="128" t="s">
        <v>614</v>
      </c>
      <c r="L183" s="76" t="s">
        <v>643</v>
      </c>
      <c r="M183" s="129"/>
      <c r="N183" s="46"/>
      <c r="O183" s="47"/>
      <c r="P183" s="57"/>
      <c r="Q183" s="63"/>
      <c r="R183" s="47"/>
      <c r="S183" s="50"/>
    </row>
    <row r="184" spans="1:19" ht="15" customHeight="1" x14ac:dyDescent="0.4">
      <c r="A184">
        <f t="shared" si="2"/>
        <v>183</v>
      </c>
      <c r="B184" s="40" t="s">
        <v>605</v>
      </c>
      <c r="C184" s="51" t="s">
        <v>1559</v>
      </c>
      <c r="D184" s="52" t="s">
        <v>1560</v>
      </c>
      <c r="E184" s="52" t="s">
        <v>827</v>
      </c>
      <c r="F184" s="52" t="s">
        <v>1561</v>
      </c>
      <c r="G184" s="52" t="s">
        <v>1562</v>
      </c>
      <c r="H184" s="82" t="s">
        <v>1563</v>
      </c>
      <c r="I184" s="52" t="s">
        <v>703</v>
      </c>
      <c r="J184" s="52" t="s">
        <v>704</v>
      </c>
      <c r="K184" s="54" t="s">
        <v>614</v>
      </c>
      <c r="L184" s="52" t="s">
        <v>615</v>
      </c>
      <c r="M184" s="45"/>
      <c r="N184" s="46"/>
      <c r="O184" s="47"/>
      <c r="P184" s="57"/>
      <c r="Q184" s="63"/>
      <c r="R184" s="47"/>
      <c r="S184" s="81"/>
    </row>
    <row r="185" spans="1:19" ht="15" customHeight="1" x14ac:dyDescent="0.4">
      <c r="A185">
        <f t="shared" si="2"/>
        <v>184</v>
      </c>
      <c r="B185" s="40" t="s">
        <v>605</v>
      </c>
      <c r="C185" s="51" t="s">
        <v>1564</v>
      </c>
      <c r="D185" s="52" t="s">
        <v>1035</v>
      </c>
      <c r="E185" s="52" t="s">
        <v>1565</v>
      </c>
      <c r="F185" s="52" t="s">
        <v>1566</v>
      </c>
      <c r="G185" s="52" t="s">
        <v>1567</v>
      </c>
      <c r="H185" s="43" t="s">
        <v>1568</v>
      </c>
      <c r="I185" s="52" t="s">
        <v>641</v>
      </c>
      <c r="J185" s="52" t="s">
        <v>1033</v>
      </c>
      <c r="K185" s="54" t="s">
        <v>614</v>
      </c>
      <c r="L185" s="52" t="s">
        <v>615</v>
      </c>
      <c r="M185" s="45"/>
      <c r="N185" s="46"/>
      <c r="O185" s="47"/>
      <c r="P185" s="57"/>
      <c r="Q185" s="63"/>
      <c r="R185" s="47"/>
      <c r="S185" s="50"/>
    </row>
    <row r="186" spans="1:19" ht="15" customHeight="1" x14ac:dyDescent="0.4">
      <c r="A186">
        <f t="shared" si="2"/>
        <v>185</v>
      </c>
      <c r="B186" s="40" t="s">
        <v>605</v>
      </c>
      <c r="C186" s="51" t="s">
        <v>1569</v>
      </c>
      <c r="D186" s="52" t="s">
        <v>802</v>
      </c>
      <c r="E186" s="52" t="s">
        <v>1491</v>
      </c>
      <c r="F186" s="52" t="s">
        <v>1148</v>
      </c>
      <c r="G186" s="52" t="s">
        <v>1570</v>
      </c>
      <c r="H186" s="60" t="s">
        <v>1571</v>
      </c>
      <c r="I186" s="52" t="s">
        <v>720</v>
      </c>
      <c r="J186" s="52" t="s">
        <v>684</v>
      </c>
      <c r="K186" s="128" t="s">
        <v>614</v>
      </c>
      <c r="L186" s="52" t="s">
        <v>615</v>
      </c>
      <c r="M186" s="45"/>
      <c r="N186" s="46"/>
      <c r="O186" s="47"/>
      <c r="P186" s="57"/>
      <c r="Q186" s="63"/>
      <c r="R186" s="47"/>
      <c r="S186" s="50"/>
    </row>
    <row r="187" spans="1:19" ht="15" customHeight="1" x14ac:dyDescent="0.4">
      <c r="A187">
        <f t="shared" si="2"/>
        <v>186</v>
      </c>
      <c r="B187" s="40" t="s">
        <v>605</v>
      </c>
      <c r="C187" s="41" t="s">
        <v>1572</v>
      </c>
      <c r="D187" s="42" t="s">
        <v>1410</v>
      </c>
      <c r="E187" s="42" t="s">
        <v>716</v>
      </c>
      <c r="F187" s="42" t="s">
        <v>1573</v>
      </c>
      <c r="G187" s="42" t="s">
        <v>1574</v>
      </c>
      <c r="H187" s="82" t="s">
        <v>1575</v>
      </c>
      <c r="I187" s="42" t="s">
        <v>734</v>
      </c>
      <c r="J187" s="42" t="s">
        <v>642</v>
      </c>
      <c r="K187" s="54" t="s">
        <v>614</v>
      </c>
      <c r="L187" s="44" t="s">
        <v>615</v>
      </c>
      <c r="M187" s="45"/>
      <c r="N187" s="46"/>
      <c r="O187" s="47"/>
      <c r="P187" s="57"/>
      <c r="Q187" s="63"/>
      <c r="R187" s="47"/>
      <c r="S187" s="50"/>
    </row>
    <row r="188" spans="1:19" ht="15" customHeight="1" x14ac:dyDescent="0.4">
      <c r="A188">
        <f t="shared" si="2"/>
        <v>187</v>
      </c>
      <c r="B188" s="40" t="s">
        <v>605</v>
      </c>
      <c r="C188" s="51" t="s">
        <v>1576</v>
      </c>
      <c r="D188" s="52" t="s">
        <v>770</v>
      </c>
      <c r="E188" s="52" t="s">
        <v>1577</v>
      </c>
      <c r="F188" s="52" t="s">
        <v>1578</v>
      </c>
      <c r="G188" s="52" t="s">
        <v>1579</v>
      </c>
      <c r="H188" s="53" t="s">
        <v>1580</v>
      </c>
      <c r="I188" s="52" t="s">
        <v>622</v>
      </c>
      <c r="J188" s="53" t="s">
        <v>664</v>
      </c>
      <c r="K188" s="54" t="s">
        <v>614</v>
      </c>
      <c r="L188" s="52" t="s">
        <v>615</v>
      </c>
      <c r="M188" s="56"/>
      <c r="N188" s="46"/>
      <c r="O188" s="47"/>
      <c r="P188" s="57"/>
      <c r="Q188" s="63"/>
      <c r="R188" s="47"/>
      <c r="S188" s="50"/>
    </row>
    <row r="189" spans="1:19" ht="15" customHeight="1" x14ac:dyDescent="0.4">
      <c r="A189">
        <f t="shared" si="2"/>
        <v>188</v>
      </c>
      <c r="B189" s="40" t="s">
        <v>605</v>
      </c>
      <c r="C189" s="41" t="s">
        <v>1581</v>
      </c>
      <c r="D189" s="42" t="s">
        <v>1582</v>
      </c>
      <c r="E189" s="42" t="s">
        <v>659</v>
      </c>
      <c r="F189" s="42" t="s">
        <v>1583</v>
      </c>
      <c r="G189" s="42" t="s">
        <v>1584</v>
      </c>
      <c r="H189" s="82" t="s">
        <v>1585</v>
      </c>
      <c r="I189" s="52" t="s">
        <v>649</v>
      </c>
      <c r="J189" s="52" t="s">
        <v>704</v>
      </c>
      <c r="K189" s="54" t="s">
        <v>614</v>
      </c>
      <c r="L189" s="52" t="s">
        <v>615</v>
      </c>
      <c r="M189" s="45"/>
      <c r="N189" s="46"/>
      <c r="O189" s="47"/>
      <c r="P189" s="57"/>
      <c r="Q189" s="63"/>
      <c r="R189" s="47"/>
      <c r="S189" s="50"/>
    </row>
    <row r="190" spans="1:19" ht="15" customHeight="1" x14ac:dyDescent="0.4">
      <c r="A190">
        <f t="shared" si="2"/>
        <v>189</v>
      </c>
      <c r="B190" s="40" t="s">
        <v>605</v>
      </c>
      <c r="C190" s="51" t="s">
        <v>1586</v>
      </c>
      <c r="D190" s="52" t="s">
        <v>1582</v>
      </c>
      <c r="E190" s="52" t="s">
        <v>1375</v>
      </c>
      <c r="F190" s="52" t="s">
        <v>1587</v>
      </c>
      <c r="G190" s="52" t="s">
        <v>1588</v>
      </c>
      <c r="H190" s="53" t="s">
        <v>1589</v>
      </c>
      <c r="I190" s="52" t="s">
        <v>703</v>
      </c>
      <c r="J190" s="52" t="s">
        <v>623</v>
      </c>
      <c r="K190" s="54" t="s">
        <v>614</v>
      </c>
      <c r="L190" s="52" t="s">
        <v>615</v>
      </c>
      <c r="M190" s="80"/>
      <c r="N190" s="46"/>
      <c r="O190" s="47"/>
      <c r="P190" s="57"/>
      <c r="Q190" s="63"/>
      <c r="R190" s="47"/>
      <c r="S190" s="50"/>
    </row>
    <row r="191" spans="1:19" ht="15" customHeight="1" x14ac:dyDescent="0.4">
      <c r="A191">
        <f t="shared" si="2"/>
        <v>190</v>
      </c>
      <c r="B191" s="40" t="s">
        <v>605</v>
      </c>
      <c r="C191" s="51" t="s">
        <v>1590</v>
      </c>
      <c r="D191" s="52" t="s">
        <v>1582</v>
      </c>
      <c r="E191" s="52" t="s">
        <v>1591</v>
      </c>
      <c r="F191" s="52" t="s">
        <v>1592</v>
      </c>
      <c r="G191" s="52" t="s">
        <v>1593</v>
      </c>
      <c r="H191" s="83" t="s">
        <v>1594</v>
      </c>
      <c r="I191" s="52" t="s">
        <v>734</v>
      </c>
      <c r="J191" s="52" t="s">
        <v>1069</v>
      </c>
      <c r="K191" s="54" t="s">
        <v>614</v>
      </c>
      <c r="L191" s="52" t="s">
        <v>615</v>
      </c>
      <c r="M191" s="45"/>
      <c r="N191" s="46"/>
      <c r="O191" s="47"/>
      <c r="P191" s="57"/>
      <c r="Q191" s="58"/>
      <c r="R191" s="47"/>
      <c r="S191" s="50"/>
    </row>
    <row r="192" spans="1:19" ht="15" customHeight="1" x14ac:dyDescent="0.4">
      <c r="A192">
        <f t="shared" si="2"/>
        <v>191</v>
      </c>
      <c r="B192" s="40" t="s">
        <v>605</v>
      </c>
      <c r="C192" s="41" t="s">
        <v>1595</v>
      </c>
      <c r="D192" s="42" t="s">
        <v>1596</v>
      </c>
      <c r="E192" s="42" t="s">
        <v>1597</v>
      </c>
      <c r="F192" s="42" t="s">
        <v>1598</v>
      </c>
      <c r="G192" s="42" t="s">
        <v>1599</v>
      </c>
      <c r="H192" s="44" t="s">
        <v>1600</v>
      </c>
      <c r="I192" s="52" t="s">
        <v>703</v>
      </c>
      <c r="J192" s="52" t="s">
        <v>836</v>
      </c>
      <c r="K192" s="52" t="s">
        <v>614</v>
      </c>
      <c r="L192" s="52" t="s">
        <v>615</v>
      </c>
      <c r="M192" s="80"/>
      <c r="N192" s="46"/>
      <c r="O192" s="47"/>
      <c r="P192" s="57"/>
      <c r="Q192" s="63"/>
      <c r="R192" s="47"/>
      <c r="S192" s="91"/>
    </row>
    <row r="193" spans="1:19" ht="15" customHeight="1" x14ac:dyDescent="0.4">
      <c r="A193">
        <f t="shared" si="2"/>
        <v>192</v>
      </c>
      <c r="B193" s="40" t="s">
        <v>605</v>
      </c>
      <c r="C193" s="51" t="s">
        <v>1601</v>
      </c>
      <c r="D193" s="53" t="s">
        <v>1542</v>
      </c>
      <c r="E193" s="53" t="s">
        <v>699</v>
      </c>
      <c r="F193" s="53" t="s">
        <v>1602</v>
      </c>
      <c r="G193" s="53" t="s">
        <v>1603</v>
      </c>
      <c r="H193" s="60" t="s">
        <v>1604</v>
      </c>
      <c r="I193" s="53" t="s">
        <v>812</v>
      </c>
      <c r="J193" s="53" t="s">
        <v>704</v>
      </c>
      <c r="K193" s="54" t="s">
        <v>614</v>
      </c>
      <c r="L193" s="52" t="s">
        <v>615</v>
      </c>
      <c r="M193" s="45"/>
      <c r="N193" s="46"/>
      <c r="O193" s="47"/>
      <c r="P193" s="57"/>
      <c r="Q193" s="63"/>
      <c r="R193" s="47"/>
      <c r="S193" s="105"/>
    </row>
    <row r="194" spans="1:19" ht="15" customHeight="1" x14ac:dyDescent="0.4">
      <c r="A194">
        <f t="shared" si="2"/>
        <v>193</v>
      </c>
      <c r="B194" s="40" t="s">
        <v>605</v>
      </c>
      <c r="C194" s="51" t="s">
        <v>1605</v>
      </c>
      <c r="D194" s="52" t="s">
        <v>1606</v>
      </c>
      <c r="E194" s="52" t="s">
        <v>975</v>
      </c>
      <c r="F194" s="52" t="s">
        <v>1607</v>
      </c>
      <c r="G194" s="52" t="s">
        <v>1608</v>
      </c>
      <c r="H194" s="60" t="s">
        <v>1609</v>
      </c>
      <c r="I194" s="52" t="s">
        <v>683</v>
      </c>
      <c r="J194" s="52" t="s">
        <v>669</v>
      </c>
      <c r="K194" s="52" t="s">
        <v>614</v>
      </c>
      <c r="L194" s="52" t="s">
        <v>615</v>
      </c>
      <c r="M194" s="45"/>
      <c r="N194" s="46"/>
      <c r="O194" s="47"/>
      <c r="P194" s="57"/>
      <c r="Q194" s="63"/>
      <c r="R194" s="47"/>
      <c r="S194" s="50"/>
    </row>
    <row r="195" spans="1:19" ht="15" customHeight="1" x14ac:dyDescent="0.4">
      <c r="A195">
        <f t="shared" si="2"/>
        <v>194</v>
      </c>
      <c r="B195" s="40" t="s">
        <v>605</v>
      </c>
      <c r="C195" s="51" t="s">
        <v>1610</v>
      </c>
      <c r="D195" s="52" t="s">
        <v>1611</v>
      </c>
      <c r="E195" s="52" t="s">
        <v>1612</v>
      </c>
      <c r="F195" s="52" t="s">
        <v>1613</v>
      </c>
      <c r="G195" s="52" t="s">
        <v>1614</v>
      </c>
      <c r="H195" s="60" t="s">
        <v>1615</v>
      </c>
      <c r="I195" s="52" t="s">
        <v>734</v>
      </c>
      <c r="J195" s="52" t="s">
        <v>1086</v>
      </c>
      <c r="K195" s="54" t="s">
        <v>614</v>
      </c>
      <c r="L195" s="52" t="s">
        <v>615</v>
      </c>
      <c r="M195" s="45"/>
      <c r="N195" s="46"/>
      <c r="O195" s="47"/>
      <c r="P195" s="57"/>
      <c r="Q195" s="63"/>
      <c r="R195" s="47"/>
      <c r="S195" s="50"/>
    </row>
    <row r="196" spans="1:19" ht="15" customHeight="1" x14ac:dyDescent="0.4">
      <c r="A196">
        <f t="shared" ref="A196:A259" si="3">A195+1</f>
        <v>195</v>
      </c>
      <c r="B196" s="40" t="s">
        <v>605</v>
      </c>
      <c r="C196" s="51" t="s">
        <v>1616</v>
      </c>
      <c r="D196" s="52" t="s">
        <v>1611</v>
      </c>
      <c r="E196" s="52" t="s">
        <v>852</v>
      </c>
      <c r="F196" s="52" t="s">
        <v>1617</v>
      </c>
      <c r="G196" s="52" t="s">
        <v>1618</v>
      </c>
      <c r="H196" s="53" t="s">
        <v>1619</v>
      </c>
      <c r="I196" s="52" t="s">
        <v>734</v>
      </c>
      <c r="J196" s="52" t="s">
        <v>836</v>
      </c>
      <c r="K196" s="54" t="s">
        <v>614</v>
      </c>
      <c r="L196" s="52" t="s">
        <v>615</v>
      </c>
      <c r="M196" s="56"/>
      <c r="N196" s="46"/>
      <c r="O196" s="47"/>
      <c r="P196" s="57"/>
      <c r="Q196" s="63"/>
      <c r="R196" s="47"/>
      <c r="S196" s="50"/>
    </row>
    <row r="197" spans="1:19" ht="15" customHeight="1" x14ac:dyDescent="0.4">
      <c r="A197">
        <f t="shared" si="3"/>
        <v>196</v>
      </c>
      <c r="B197" s="40" t="s">
        <v>605</v>
      </c>
      <c r="C197" s="51" t="s">
        <v>1620</v>
      </c>
      <c r="D197" s="52" t="s">
        <v>1621</v>
      </c>
      <c r="E197" s="52" t="s">
        <v>711</v>
      </c>
      <c r="F197" s="52" t="s">
        <v>1622</v>
      </c>
      <c r="G197" s="52" t="s">
        <v>1623</v>
      </c>
      <c r="H197" s="60" t="s">
        <v>1624</v>
      </c>
      <c r="I197" s="52" t="s">
        <v>641</v>
      </c>
      <c r="J197" s="52" t="s">
        <v>721</v>
      </c>
      <c r="K197" s="54" t="s">
        <v>614</v>
      </c>
      <c r="L197" s="52" t="s">
        <v>615</v>
      </c>
      <c r="M197" s="56"/>
      <c r="N197" s="46"/>
      <c r="O197" s="47"/>
      <c r="P197" s="57"/>
      <c r="Q197" s="63"/>
      <c r="R197" s="47"/>
      <c r="S197" s="50"/>
    </row>
    <row r="198" spans="1:19" ht="15" customHeight="1" x14ac:dyDescent="0.4">
      <c r="A198">
        <f t="shared" si="3"/>
        <v>197</v>
      </c>
      <c r="B198" s="40" t="s">
        <v>605</v>
      </c>
      <c r="C198" s="51" t="s">
        <v>1625</v>
      </c>
      <c r="D198" s="52" t="s">
        <v>1626</v>
      </c>
      <c r="E198" s="52" t="s">
        <v>1410</v>
      </c>
      <c r="F198" s="52" t="s">
        <v>1627</v>
      </c>
      <c r="G198" s="52" t="s">
        <v>1628</v>
      </c>
      <c r="H198" s="60" t="s">
        <v>1629</v>
      </c>
      <c r="I198" s="52" t="s">
        <v>720</v>
      </c>
      <c r="J198" s="52" t="s">
        <v>1086</v>
      </c>
      <c r="K198" s="54" t="s">
        <v>614</v>
      </c>
      <c r="L198" s="52" t="s">
        <v>615</v>
      </c>
      <c r="M198" s="45"/>
      <c r="N198" s="46"/>
      <c r="O198" s="47"/>
      <c r="P198" s="57"/>
      <c r="Q198" s="63"/>
      <c r="R198" s="47"/>
      <c r="S198" s="50"/>
    </row>
    <row r="199" spans="1:19" ht="15" customHeight="1" x14ac:dyDescent="0.4">
      <c r="A199">
        <f t="shared" si="3"/>
        <v>198</v>
      </c>
      <c r="B199" s="40" t="s">
        <v>605</v>
      </c>
      <c r="C199" s="51" t="s">
        <v>1630</v>
      </c>
      <c r="D199" s="52" t="s">
        <v>1626</v>
      </c>
      <c r="E199" s="52" t="s">
        <v>1410</v>
      </c>
      <c r="F199" s="52" t="s">
        <v>1631</v>
      </c>
      <c r="G199" s="52" t="s">
        <v>1632</v>
      </c>
      <c r="H199" s="82" t="s">
        <v>1633</v>
      </c>
      <c r="I199" s="52" t="s">
        <v>641</v>
      </c>
      <c r="J199" s="52" t="s">
        <v>664</v>
      </c>
      <c r="K199" s="54" t="s">
        <v>614</v>
      </c>
      <c r="L199" s="52" t="s">
        <v>643</v>
      </c>
      <c r="M199" s="56"/>
      <c r="N199" s="46"/>
      <c r="O199" s="47"/>
      <c r="P199" s="57"/>
      <c r="Q199" s="63"/>
      <c r="R199" s="47"/>
      <c r="S199" s="50"/>
    </row>
    <row r="200" spans="1:19" ht="15" customHeight="1" x14ac:dyDescent="0.4">
      <c r="A200">
        <f t="shared" si="3"/>
        <v>199</v>
      </c>
      <c r="B200" s="40" t="s">
        <v>605</v>
      </c>
      <c r="C200" s="41" t="s">
        <v>1634</v>
      </c>
      <c r="D200" s="52" t="s">
        <v>1635</v>
      </c>
      <c r="E200" s="42" t="s">
        <v>808</v>
      </c>
      <c r="F200" s="42" t="s">
        <v>1636</v>
      </c>
      <c r="G200" s="42" t="s">
        <v>1637</v>
      </c>
      <c r="H200" s="59" t="s">
        <v>1638</v>
      </c>
      <c r="I200" s="42" t="s">
        <v>649</v>
      </c>
      <c r="J200" s="42" t="s">
        <v>813</v>
      </c>
      <c r="K200" s="44" t="s">
        <v>614</v>
      </c>
      <c r="L200" s="52" t="s">
        <v>615</v>
      </c>
      <c r="M200" s="45"/>
      <c r="N200" s="46"/>
      <c r="O200" s="47"/>
      <c r="P200" s="57"/>
      <c r="Q200" s="63"/>
      <c r="R200" s="47"/>
      <c r="S200" s="81"/>
    </row>
    <row r="201" spans="1:19" ht="15" customHeight="1" x14ac:dyDescent="0.4">
      <c r="A201">
        <f t="shared" si="3"/>
        <v>200</v>
      </c>
      <c r="B201" s="40" t="s">
        <v>605</v>
      </c>
      <c r="C201" s="130" t="s">
        <v>332</v>
      </c>
      <c r="D201" s="87" t="s">
        <v>1639</v>
      </c>
      <c r="E201" s="87" t="s">
        <v>986</v>
      </c>
      <c r="F201" s="87" t="s">
        <v>1640</v>
      </c>
      <c r="G201" s="87" t="s">
        <v>1641</v>
      </c>
      <c r="H201" s="131" t="s">
        <v>115</v>
      </c>
      <c r="I201" s="85" t="s">
        <v>622</v>
      </c>
      <c r="J201" s="85" t="s">
        <v>778</v>
      </c>
      <c r="K201" s="132" t="s">
        <v>614</v>
      </c>
      <c r="L201" s="85" t="s">
        <v>643</v>
      </c>
      <c r="M201" s="89"/>
      <c r="N201" s="46"/>
      <c r="O201" s="47"/>
      <c r="P201" s="57"/>
      <c r="Q201" s="63"/>
      <c r="R201" s="47"/>
      <c r="S201" s="81"/>
    </row>
    <row r="202" spans="1:19" ht="15" customHeight="1" x14ac:dyDescent="0.4">
      <c r="A202">
        <f t="shared" si="3"/>
        <v>201</v>
      </c>
      <c r="B202" s="40" t="s">
        <v>605</v>
      </c>
      <c r="C202" s="41" t="s">
        <v>1642</v>
      </c>
      <c r="D202" s="42" t="s">
        <v>1643</v>
      </c>
      <c r="E202" s="42" t="s">
        <v>1364</v>
      </c>
      <c r="F202" s="42" t="s">
        <v>1644</v>
      </c>
      <c r="G202" s="42" t="s">
        <v>1645</v>
      </c>
      <c r="H202" s="61" t="s">
        <v>1646</v>
      </c>
      <c r="I202" s="52" t="s">
        <v>1026</v>
      </c>
      <c r="J202" s="53" t="s">
        <v>669</v>
      </c>
      <c r="K202" s="53" t="s">
        <v>614</v>
      </c>
      <c r="L202" s="44" t="s">
        <v>615</v>
      </c>
      <c r="M202" s="45"/>
      <c r="N202" s="46"/>
      <c r="O202" s="47"/>
      <c r="P202" s="57"/>
      <c r="Q202" s="63"/>
      <c r="R202" s="47"/>
      <c r="S202" s="50"/>
    </row>
    <row r="203" spans="1:19" ht="15" customHeight="1" x14ac:dyDescent="0.4">
      <c r="A203">
        <f t="shared" si="3"/>
        <v>202</v>
      </c>
      <c r="B203" s="40" t="s">
        <v>605</v>
      </c>
      <c r="C203" s="51" t="s">
        <v>1647</v>
      </c>
      <c r="D203" s="52" t="s">
        <v>1648</v>
      </c>
      <c r="E203" s="52" t="s">
        <v>1104</v>
      </c>
      <c r="F203" s="52" t="s">
        <v>1649</v>
      </c>
      <c r="G203" s="52" t="s">
        <v>1650</v>
      </c>
      <c r="H203" s="82" t="s">
        <v>1651</v>
      </c>
      <c r="I203" s="52" t="s">
        <v>649</v>
      </c>
      <c r="J203" s="52" t="s">
        <v>813</v>
      </c>
      <c r="K203" s="52" t="s">
        <v>614</v>
      </c>
      <c r="L203" s="52" t="s">
        <v>615</v>
      </c>
      <c r="M203" s="45"/>
      <c r="N203" s="46"/>
      <c r="O203" s="47"/>
      <c r="P203" s="57"/>
      <c r="Q203" s="63"/>
      <c r="R203" s="47"/>
      <c r="S203" s="50"/>
    </row>
    <row r="204" spans="1:19" ht="15" customHeight="1" x14ac:dyDescent="0.4">
      <c r="A204">
        <f t="shared" si="3"/>
        <v>203</v>
      </c>
      <c r="B204" s="40" t="s">
        <v>605</v>
      </c>
      <c r="C204" s="51" t="s">
        <v>1652</v>
      </c>
      <c r="D204" s="53" t="s">
        <v>1648</v>
      </c>
      <c r="E204" s="53" t="s">
        <v>795</v>
      </c>
      <c r="F204" s="53" t="s">
        <v>1653</v>
      </c>
      <c r="G204" s="53" t="s">
        <v>1654</v>
      </c>
      <c r="H204" s="60" t="s">
        <v>1655</v>
      </c>
      <c r="I204" s="52" t="s">
        <v>861</v>
      </c>
      <c r="J204" s="53" t="s">
        <v>631</v>
      </c>
      <c r="K204" s="54" t="s">
        <v>614</v>
      </c>
      <c r="L204" s="52" t="s">
        <v>615</v>
      </c>
      <c r="M204" s="45"/>
      <c r="N204" s="46"/>
      <c r="O204" s="47"/>
      <c r="P204" s="57"/>
      <c r="Q204" s="63"/>
      <c r="R204" s="47"/>
      <c r="S204" s="81"/>
    </row>
    <row r="205" spans="1:19" ht="15" customHeight="1" x14ac:dyDescent="0.4">
      <c r="A205">
        <f t="shared" si="3"/>
        <v>204</v>
      </c>
      <c r="B205" s="40" t="s">
        <v>605</v>
      </c>
      <c r="C205" s="51" t="s">
        <v>1656</v>
      </c>
      <c r="D205" s="52" t="s">
        <v>1657</v>
      </c>
      <c r="E205" s="52" t="s">
        <v>1658</v>
      </c>
      <c r="F205" s="52" t="s">
        <v>1659</v>
      </c>
      <c r="G205" s="52" t="s">
        <v>1660</v>
      </c>
      <c r="H205" s="53" t="s">
        <v>1661</v>
      </c>
      <c r="I205" s="52" t="s">
        <v>703</v>
      </c>
      <c r="J205" s="53" t="s">
        <v>676</v>
      </c>
      <c r="K205" s="54" t="s">
        <v>614</v>
      </c>
      <c r="L205" s="52" t="s">
        <v>615</v>
      </c>
      <c r="M205" s="45"/>
      <c r="N205" s="46"/>
      <c r="O205" s="47"/>
      <c r="P205" s="57"/>
      <c r="Q205" s="58"/>
      <c r="R205" s="47"/>
      <c r="S205" s="50"/>
    </row>
    <row r="206" spans="1:19" ht="15" customHeight="1" x14ac:dyDescent="0.4">
      <c r="A206">
        <f t="shared" si="3"/>
        <v>205</v>
      </c>
      <c r="B206" s="40" t="s">
        <v>605</v>
      </c>
      <c r="C206" s="51" t="s">
        <v>1662</v>
      </c>
      <c r="D206" s="52" t="s">
        <v>1657</v>
      </c>
      <c r="E206" s="52" t="s">
        <v>1454</v>
      </c>
      <c r="F206" s="52" t="s">
        <v>1663</v>
      </c>
      <c r="G206" s="52" t="s">
        <v>1664</v>
      </c>
      <c r="H206" s="59" t="s">
        <v>1665</v>
      </c>
      <c r="I206" s="53" t="s">
        <v>683</v>
      </c>
      <c r="J206" s="52" t="s">
        <v>631</v>
      </c>
      <c r="K206" s="54" t="s">
        <v>614</v>
      </c>
      <c r="L206" s="52" t="s">
        <v>615</v>
      </c>
      <c r="M206" s="45"/>
      <c r="N206" s="46"/>
      <c r="O206" s="47"/>
      <c r="P206" s="57"/>
      <c r="Q206" s="63"/>
      <c r="R206" s="47"/>
      <c r="S206" s="50"/>
    </row>
    <row r="207" spans="1:19" ht="15" customHeight="1" x14ac:dyDescent="0.4">
      <c r="A207">
        <f t="shared" si="3"/>
        <v>206</v>
      </c>
      <c r="B207" s="40" t="s">
        <v>605</v>
      </c>
      <c r="C207" s="41" t="s">
        <v>1666</v>
      </c>
      <c r="D207" s="44" t="s">
        <v>882</v>
      </c>
      <c r="E207" s="44" t="s">
        <v>1606</v>
      </c>
      <c r="F207" s="44" t="s">
        <v>1667</v>
      </c>
      <c r="G207" s="44" t="s">
        <v>1668</v>
      </c>
      <c r="H207" s="43" t="s">
        <v>1669</v>
      </c>
      <c r="I207" s="44" t="s">
        <v>799</v>
      </c>
      <c r="J207" s="42" t="s">
        <v>735</v>
      </c>
      <c r="K207" s="44" t="s">
        <v>614</v>
      </c>
      <c r="L207" s="108" t="s">
        <v>643</v>
      </c>
      <c r="M207" s="108"/>
      <c r="N207" s="40"/>
      <c r="O207" s="47"/>
      <c r="P207" s="57"/>
      <c r="Q207" s="63"/>
      <c r="R207" s="47"/>
      <c r="S207" s="50"/>
    </row>
    <row r="208" spans="1:19" ht="15" customHeight="1" x14ac:dyDescent="0.4">
      <c r="A208">
        <f t="shared" si="3"/>
        <v>207</v>
      </c>
      <c r="B208" s="40" t="s">
        <v>605</v>
      </c>
      <c r="C208" s="51" t="s">
        <v>1670</v>
      </c>
      <c r="D208" s="52" t="s">
        <v>882</v>
      </c>
      <c r="E208" s="52" t="s">
        <v>1671</v>
      </c>
      <c r="F208" s="52" t="s">
        <v>1672</v>
      </c>
      <c r="G208" s="52" t="s">
        <v>1673</v>
      </c>
      <c r="H208" s="61" t="s">
        <v>1674</v>
      </c>
      <c r="I208" s="52" t="s">
        <v>703</v>
      </c>
      <c r="J208" s="52" t="s">
        <v>637</v>
      </c>
      <c r="K208" s="54" t="s">
        <v>614</v>
      </c>
      <c r="L208" s="44" t="s">
        <v>615</v>
      </c>
      <c r="M208" s="45"/>
      <c r="N208" s="46"/>
      <c r="O208" s="47"/>
      <c r="P208" s="57"/>
      <c r="Q208" s="63"/>
      <c r="R208" s="47"/>
      <c r="S208" s="50"/>
    </row>
    <row r="209" spans="1:20" ht="15" customHeight="1" x14ac:dyDescent="0.4">
      <c r="A209">
        <f t="shared" si="3"/>
        <v>208</v>
      </c>
      <c r="B209" s="40" t="s">
        <v>605</v>
      </c>
      <c r="C209" s="51" t="s">
        <v>1675</v>
      </c>
      <c r="D209" s="52" t="s">
        <v>1676</v>
      </c>
      <c r="E209" s="52" t="s">
        <v>1677</v>
      </c>
      <c r="F209" s="52" t="s">
        <v>1678</v>
      </c>
      <c r="G209" s="52" t="s">
        <v>1679</v>
      </c>
      <c r="H209" s="53" t="s">
        <v>1680</v>
      </c>
      <c r="I209" s="52" t="s">
        <v>1468</v>
      </c>
      <c r="J209" s="52" t="s">
        <v>751</v>
      </c>
      <c r="K209" s="44" t="s">
        <v>614</v>
      </c>
      <c r="L209" s="52" t="s">
        <v>615</v>
      </c>
      <c r="M209" s="56"/>
      <c r="N209" s="46"/>
      <c r="O209" s="47"/>
      <c r="P209" s="57"/>
      <c r="Q209" s="63"/>
      <c r="R209" s="47"/>
      <c r="S209" s="50"/>
    </row>
    <row r="210" spans="1:20" ht="15" customHeight="1" x14ac:dyDescent="0.4">
      <c r="A210">
        <f t="shared" si="3"/>
        <v>209</v>
      </c>
      <c r="B210" s="40" t="s">
        <v>605</v>
      </c>
      <c r="C210" s="41" t="s">
        <v>1681</v>
      </c>
      <c r="D210" s="52" t="s">
        <v>1682</v>
      </c>
      <c r="E210" s="42" t="s">
        <v>1551</v>
      </c>
      <c r="F210" s="42" t="s">
        <v>1683</v>
      </c>
      <c r="G210" s="42" t="s">
        <v>1684</v>
      </c>
      <c r="H210" s="59" t="s">
        <v>1685</v>
      </c>
      <c r="I210" s="42" t="s">
        <v>812</v>
      </c>
      <c r="J210" s="42" t="s">
        <v>637</v>
      </c>
      <c r="K210" s="54" t="s">
        <v>614</v>
      </c>
      <c r="L210" s="52" t="s">
        <v>615</v>
      </c>
      <c r="M210" s="45"/>
      <c r="N210" s="46"/>
      <c r="O210" s="47"/>
      <c r="P210" s="57"/>
      <c r="Q210" s="63"/>
      <c r="R210" s="47"/>
      <c r="S210" s="133"/>
    </row>
    <row r="211" spans="1:20" ht="15" customHeight="1" x14ac:dyDescent="0.4">
      <c r="A211">
        <f t="shared" si="3"/>
        <v>210</v>
      </c>
      <c r="B211" s="40" t="s">
        <v>605</v>
      </c>
      <c r="C211" s="51" t="s">
        <v>358</v>
      </c>
      <c r="D211" s="52" t="s">
        <v>1686</v>
      </c>
      <c r="E211" s="53" t="s">
        <v>1687</v>
      </c>
      <c r="F211" s="53" t="s">
        <v>1688</v>
      </c>
      <c r="G211" s="53" t="s">
        <v>1689</v>
      </c>
      <c r="H211" s="107" t="s">
        <v>1690</v>
      </c>
      <c r="I211" s="42" t="s">
        <v>1691</v>
      </c>
      <c r="J211" s="42" t="s">
        <v>778</v>
      </c>
      <c r="K211" s="44" t="s">
        <v>614</v>
      </c>
      <c r="L211" s="44" t="s">
        <v>643</v>
      </c>
      <c r="M211" s="45"/>
      <c r="N211" s="46"/>
      <c r="O211" s="47"/>
      <c r="P211" s="57"/>
      <c r="Q211" s="63"/>
      <c r="R211" s="47"/>
      <c r="S211" s="81"/>
    </row>
    <row r="212" spans="1:20" ht="15" customHeight="1" x14ac:dyDescent="0.4">
      <c r="A212">
        <f t="shared" si="3"/>
        <v>211</v>
      </c>
      <c r="B212" s="40" t="s">
        <v>605</v>
      </c>
      <c r="C212" s="51" t="s">
        <v>1692</v>
      </c>
      <c r="D212" s="52" t="s">
        <v>1693</v>
      </c>
      <c r="E212" s="52" t="s">
        <v>1470</v>
      </c>
      <c r="F212" s="52" t="s">
        <v>1694</v>
      </c>
      <c r="G212" s="52" t="s">
        <v>1695</v>
      </c>
      <c r="H212" s="83" t="s">
        <v>1696</v>
      </c>
      <c r="I212" s="52" t="s">
        <v>812</v>
      </c>
      <c r="J212" s="52" t="s">
        <v>664</v>
      </c>
      <c r="K212" s="54" t="s">
        <v>614</v>
      </c>
      <c r="L212" s="52" t="s">
        <v>615</v>
      </c>
      <c r="M212" s="45"/>
      <c r="N212" s="46"/>
      <c r="O212" s="47"/>
      <c r="P212" s="47"/>
      <c r="Q212" s="48"/>
      <c r="R212" s="49"/>
      <c r="S212" s="50"/>
    </row>
    <row r="213" spans="1:20" ht="15" customHeight="1" x14ac:dyDescent="0.4">
      <c r="A213">
        <f t="shared" si="3"/>
        <v>212</v>
      </c>
      <c r="B213" s="40" t="s">
        <v>605</v>
      </c>
      <c r="C213" s="41" t="s">
        <v>1697</v>
      </c>
      <c r="D213" s="52" t="s">
        <v>1698</v>
      </c>
      <c r="E213" s="42" t="s">
        <v>1699</v>
      </c>
      <c r="F213" s="42" t="s">
        <v>1700</v>
      </c>
      <c r="G213" s="42" t="s">
        <v>1701</v>
      </c>
      <c r="H213" s="59" t="s">
        <v>1702</v>
      </c>
      <c r="I213" s="42" t="s">
        <v>612</v>
      </c>
      <c r="J213" s="42" t="s">
        <v>751</v>
      </c>
      <c r="K213" s="44" t="s">
        <v>614</v>
      </c>
      <c r="L213" s="52" t="s">
        <v>615</v>
      </c>
      <c r="M213" s="45"/>
      <c r="N213" s="46"/>
      <c r="O213" s="47"/>
      <c r="P213" s="57"/>
      <c r="Q213" s="63"/>
      <c r="R213" s="47"/>
      <c r="S213" s="50"/>
    </row>
    <row r="214" spans="1:20" ht="15" customHeight="1" x14ac:dyDescent="0.4">
      <c r="A214">
        <f t="shared" si="3"/>
        <v>213</v>
      </c>
      <c r="B214" s="40" t="s">
        <v>605</v>
      </c>
      <c r="C214" s="51" t="s">
        <v>1703</v>
      </c>
      <c r="D214" s="52" t="s">
        <v>1704</v>
      </c>
      <c r="E214" s="52" t="s">
        <v>952</v>
      </c>
      <c r="F214" s="52" t="s">
        <v>1705</v>
      </c>
      <c r="G214" s="52" t="s">
        <v>1706</v>
      </c>
      <c r="H214" s="82" t="s">
        <v>1707</v>
      </c>
      <c r="I214" s="52" t="s">
        <v>768</v>
      </c>
      <c r="J214" s="52" t="s">
        <v>763</v>
      </c>
      <c r="K214" s="54" t="s">
        <v>614</v>
      </c>
      <c r="L214" s="52" t="s">
        <v>615</v>
      </c>
      <c r="M214" s="45"/>
      <c r="N214" s="46"/>
      <c r="O214" s="47"/>
      <c r="P214" s="57"/>
      <c r="Q214" s="63"/>
      <c r="R214" s="47"/>
      <c r="S214" s="105"/>
    </row>
    <row r="215" spans="1:20" ht="15" customHeight="1" x14ac:dyDescent="0.4">
      <c r="A215">
        <f t="shared" si="3"/>
        <v>214</v>
      </c>
      <c r="B215" s="40" t="s">
        <v>605</v>
      </c>
      <c r="C215" s="51" t="s">
        <v>1708</v>
      </c>
      <c r="D215" s="52" t="s">
        <v>1687</v>
      </c>
      <c r="E215" s="52" t="s">
        <v>1476</v>
      </c>
      <c r="F215" s="52" t="s">
        <v>1709</v>
      </c>
      <c r="G215" s="52" t="s">
        <v>1710</v>
      </c>
      <c r="H215" s="60" t="s">
        <v>1711</v>
      </c>
      <c r="I215" s="52" t="s">
        <v>649</v>
      </c>
      <c r="J215" s="52" t="s">
        <v>684</v>
      </c>
      <c r="K215" s="54" t="s">
        <v>614</v>
      </c>
      <c r="L215" s="52" t="s">
        <v>615</v>
      </c>
      <c r="M215" s="45"/>
      <c r="N215" s="46"/>
      <c r="O215" s="47"/>
      <c r="P215" s="57"/>
      <c r="Q215" s="63"/>
      <c r="R215" s="47"/>
      <c r="S215" s="50"/>
    </row>
    <row r="216" spans="1:20" ht="15" customHeight="1" x14ac:dyDescent="0.4">
      <c r="A216">
        <f t="shared" si="3"/>
        <v>215</v>
      </c>
      <c r="B216" s="40" t="s">
        <v>605</v>
      </c>
      <c r="C216" s="51" t="s">
        <v>1712</v>
      </c>
      <c r="D216" s="52" t="s">
        <v>1072</v>
      </c>
      <c r="E216" s="52" t="s">
        <v>711</v>
      </c>
      <c r="F216" s="52" t="s">
        <v>1713</v>
      </c>
      <c r="G216" s="52" t="s">
        <v>1714</v>
      </c>
      <c r="H216" s="53" t="s">
        <v>1715</v>
      </c>
      <c r="I216" s="52" t="s">
        <v>727</v>
      </c>
      <c r="J216" s="52" t="s">
        <v>1069</v>
      </c>
      <c r="K216" s="54" t="s">
        <v>614</v>
      </c>
      <c r="L216" s="52" t="s">
        <v>643</v>
      </c>
      <c r="M216" s="80"/>
      <c r="N216" s="46"/>
      <c r="O216" s="47"/>
      <c r="P216" s="72"/>
      <c r="Q216" s="63"/>
      <c r="R216" s="47"/>
      <c r="S216" s="50"/>
    </row>
    <row r="217" spans="1:20" ht="15" customHeight="1" x14ac:dyDescent="0.4">
      <c r="A217">
        <f t="shared" si="3"/>
        <v>216</v>
      </c>
      <c r="B217" s="40" t="s">
        <v>605</v>
      </c>
      <c r="C217" s="51" t="s">
        <v>1716</v>
      </c>
      <c r="D217" s="52" t="s">
        <v>1717</v>
      </c>
      <c r="E217" s="52" t="s">
        <v>1718</v>
      </c>
      <c r="F217" s="52" t="s">
        <v>1719</v>
      </c>
      <c r="G217" s="52" t="s">
        <v>1720</v>
      </c>
      <c r="H217" s="53" t="s">
        <v>1721</v>
      </c>
      <c r="I217" s="52" t="s">
        <v>703</v>
      </c>
      <c r="J217" s="52" t="s">
        <v>1033</v>
      </c>
      <c r="K217" s="44" t="s">
        <v>614</v>
      </c>
      <c r="L217" s="52" t="s">
        <v>615</v>
      </c>
      <c r="M217" s="134"/>
      <c r="N217" s="46"/>
      <c r="O217" s="47"/>
      <c r="P217" s="57"/>
      <c r="Q217" s="63"/>
      <c r="R217" s="47"/>
      <c r="S217" s="50"/>
    </row>
    <row r="218" spans="1:20" ht="15" customHeight="1" x14ac:dyDescent="0.4">
      <c r="A218">
        <f t="shared" si="3"/>
        <v>217</v>
      </c>
      <c r="B218" s="40" t="s">
        <v>605</v>
      </c>
      <c r="C218" s="51" t="s">
        <v>1722</v>
      </c>
      <c r="D218" s="52" t="s">
        <v>1723</v>
      </c>
      <c r="E218" s="52" t="s">
        <v>1375</v>
      </c>
      <c r="F218" s="52" t="s">
        <v>1724</v>
      </c>
      <c r="G218" s="52" t="s">
        <v>1725</v>
      </c>
      <c r="H218" s="127" t="s">
        <v>1726</v>
      </c>
      <c r="I218" s="42" t="s">
        <v>1032</v>
      </c>
      <c r="J218" s="53" t="s">
        <v>657</v>
      </c>
      <c r="K218" s="54" t="s">
        <v>614</v>
      </c>
      <c r="L218" s="97" t="s">
        <v>615</v>
      </c>
      <c r="M218" s="45"/>
      <c r="N218" s="46"/>
      <c r="O218" s="47"/>
      <c r="P218" s="57"/>
      <c r="Q218" s="63"/>
      <c r="R218" s="47"/>
      <c r="S218" s="50"/>
    </row>
    <row r="219" spans="1:20" ht="15" customHeight="1" x14ac:dyDescent="0.4">
      <c r="A219">
        <f t="shared" si="3"/>
        <v>218</v>
      </c>
      <c r="B219" s="40" t="s">
        <v>605</v>
      </c>
      <c r="C219" s="51" t="s">
        <v>270</v>
      </c>
      <c r="D219" s="52" t="s">
        <v>1727</v>
      </c>
      <c r="E219" s="52" t="s">
        <v>1728</v>
      </c>
      <c r="F219" s="52" t="s">
        <v>1729</v>
      </c>
      <c r="G219" s="52" t="s">
        <v>1730</v>
      </c>
      <c r="H219" s="82" t="s">
        <v>1731</v>
      </c>
      <c r="I219" s="52" t="s">
        <v>1219</v>
      </c>
      <c r="J219" s="53" t="s">
        <v>778</v>
      </c>
      <c r="K219" s="44" t="s">
        <v>614</v>
      </c>
      <c r="L219" s="52" t="s">
        <v>615</v>
      </c>
      <c r="M219" s="45"/>
      <c r="N219" s="46"/>
      <c r="O219" s="47"/>
      <c r="P219" s="57"/>
      <c r="Q219" s="63"/>
      <c r="R219" s="47"/>
      <c r="S219" s="50"/>
    </row>
    <row r="220" spans="1:20" ht="15" customHeight="1" x14ac:dyDescent="0.4">
      <c r="A220">
        <f t="shared" si="3"/>
        <v>219</v>
      </c>
      <c r="B220" s="40" t="s">
        <v>605</v>
      </c>
      <c r="C220" s="84" t="s">
        <v>1732</v>
      </c>
      <c r="D220" s="85" t="s">
        <v>1733</v>
      </c>
      <c r="E220" s="85" t="s">
        <v>1028</v>
      </c>
      <c r="F220" s="85" t="s">
        <v>1734</v>
      </c>
      <c r="G220" s="85" t="s">
        <v>1735</v>
      </c>
      <c r="H220" s="135" t="s">
        <v>1736</v>
      </c>
      <c r="I220" s="85" t="s">
        <v>1123</v>
      </c>
      <c r="J220" s="85" t="s">
        <v>1069</v>
      </c>
      <c r="K220" s="132" t="s">
        <v>614</v>
      </c>
      <c r="L220" s="85" t="s">
        <v>643</v>
      </c>
      <c r="M220" s="111"/>
      <c r="N220" s="46"/>
      <c r="O220" s="47"/>
      <c r="P220" s="57"/>
      <c r="Q220" s="63"/>
      <c r="R220" s="47"/>
      <c r="S220" s="81"/>
    </row>
    <row r="221" spans="1:20" ht="15" customHeight="1" x14ac:dyDescent="0.4">
      <c r="A221">
        <f t="shared" si="3"/>
        <v>220</v>
      </c>
      <c r="B221" s="40" t="s">
        <v>605</v>
      </c>
      <c r="C221" s="51" t="s">
        <v>1737</v>
      </c>
      <c r="D221" s="52" t="s">
        <v>1738</v>
      </c>
      <c r="E221" s="52" t="s">
        <v>608</v>
      </c>
      <c r="F221" s="52" t="s">
        <v>1739</v>
      </c>
      <c r="G221" s="52" t="s">
        <v>1740</v>
      </c>
      <c r="H221" s="60" t="s">
        <v>1741</v>
      </c>
      <c r="I221" s="52" t="s">
        <v>649</v>
      </c>
      <c r="J221" s="52" t="s">
        <v>631</v>
      </c>
      <c r="K221" s="54" t="s">
        <v>614</v>
      </c>
      <c r="L221" s="52" t="s">
        <v>615</v>
      </c>
      <c r="M221" s="45"/>
      <c r="N221" s="46"/>
      <c r="O221" s="47"/>
      <c r="P221" s="57"/>
      <c r="Q221" s="63"/>
      <c r="R221" s="47"/>
      <c r="S221" s="50"/>
    </row>
    <row r="222" spans="1:20" ht="15" customHeight="1" x14ac:dyDescent="0.4">
      <c r="A222">
        <f t="shared" si="3"/>
        <v>221</v>
      </c>
      <c r="B222" s="40" t="s">
        <v>605</v>
      </c>
      <c r="C222" s="51" t="s">
        <v>1742</v>
      </c>
      <c r="D222" s="52" t="s">
        <v>1738</v>
      </c>
      <c r="E222" s="52" t="s">
        <v>1743</v>
      </c>
      <c r="F222" s="52" t="s">
        <v>1744</v>
      </c>
      <c r="G222" s="52" t="s">
        <v>1745</v>
      </c>
      <c r="H222" s="83" t="s">
        <v>1746</v>
      </c>
      <c r="I222" s="52" t="s">
        <v>799</v>
      </c>
      <c r="J222" s="53" t="s">
        <v>684</v>
      </c>
      <c r="K222" s="54" t="s">
        <v>614</v>
      </c>
      <c r="L222" s="52" t="s">
        <v>643</v>
      </c>
      <c r="M222" s="45"/>
      <c r="N222" s="118"/>
      <c r="O222" s="52"/>
      <c r="P222" s="57"/>
      <c r="Q222" s="63"/>
      <c r="R222" s="47"/>
      <c r="S222" s="69"/>
      <c r="T222" s="33"/>
    </row>
    <row r="223" spans="1:20" ht="15" customHeight="1" x14ac:dyDescent="0.4">
      <c r="A223">
        <f t="shared" si="3"/>
        <v>222</v>
      </c>
      <c r="B223" s="40" t="s">
        <v>605</v>
      </c>
      <c r="C223" s="41" t="s">
        <v>383</v>
      </c>
      <c r="D223" s="44" t="s">
        <v>1747</v>
      </c>
      <c r="E223" s="44" t="s">
        <v>1748</v>
      </c>
      <c r="F223" s="44" t="s">
        <v>1749</v>
      </c>
      <c r="G223" s="44" t="s">
        <v>1750</v>
      </c>
      <c r="H223" s="59" t="s">
        <v>63</v>
      </c>
      <c r="I223" s="52" t="s">
        <v>1751</v>
      </c>
      <c r="J223" s="52" t="s">
        <v>778</v>
      </c>
      <c r="K223" s="54" t="s">
        <v>614</v>
      </c>
      <c r="L223" s="52" t="s">
        <v>615</v>
      </c>
      <c r="M223" s="45"/>
      <c r="N223" s="46"/>
      <c r="O223" s="47"/>
      <c r="P223" s="57"/>
      <c r="Q223" s="63"/>
      <c r="R223" s="47"/>
      <c r="S223" s="50"/>
    </row>
    <row r="224" spans="1:20" ht="15" customHeight="1" x14ac:dyDescent="0.4">
      <c r="A224">
        <f t="shared" si="3"/>
        <v>223</v>
      </c>
      <c r="B224" s="40" t="s">
        <v>605</v>
      </c>
      <c r="C224" s="51" t="s">
        <v>1752</v>
      </c>
      <c r="D224" s="52" t="s">
        <v>1753</v>
      </c>
      <c r="E224" s="52" t="s">
        <v>1381</v>
      </c>
      <c r="F224" s="52" t="s">
        <v>1115</v>
      </c>
      <c r="G224" s="52" t="s">
        <v>1754</v>
      </c>
      <c r="H224" s="82" t="s">
        <v>1755</v>
      </c>
      <c r="I224" s="52" t="s">
        <v>757</v>
      </c>
      <c r="J224" s="52" t="s">
        <v>664</v>
      </c>
      <c r="K224" s="44" t="s">
        <v>614</v>
      </c>
      <c r="L224" s="52" t="s">
        <v>615</v>
      </c>
      <c r="M224" s="45"/>
      <c r="N224" s="46"/>
      <c r="O224" s="47"/>
      <c r="P224" s="57"/>
      <c r="Q224" s="63"/>
      <c r="R224" s="47"/>
      <c r="S224" s="50"/>
    </row>
    <row r="225" spans="1:20" ht="15" customHeight="1" x14ac:dyDescent="0.4">
      <c r="A225">
        <f t="shared" si="3"/>
        <v>224</v>
      </c>
      <c r="B225" s="40" t="s">
        <v>605</v>
      </c>
      <c r="C225" s="51" t="s">
        <v>1756</v>
      </c>
      <c r="D225" s="52" t="s">
        <v>711</v>
      </c>
      <c r="E225" s="52" t="s">
        <v>1757</v>
      </c>
      <c r="F225" s="52" t="s">
        <v>1758</v>
      </c>
      <c r="G225" s="52" t="s">
        <v>1759</v>
      </c>
      <c r="H225" s="60" t="s">
        <v>1760</v>
      </c>
      <c r="I225" s="52" t="s">
        <v>641</v>
      </c>
      <c r="J225" s="52" t="s">
        <v>1069</v>
      </c>
      <c r="K225" s="54" t="s">
        <v>614</v>
      </c>
      <c r="L225" s="52" t="s">
        <v>615</v>
      </c>
      <c r="M225" s="45"/>
      <c r="N225" s="46"/>
      <c r="O225" s="47"/>
      <c r="P225" s="72"/>
      <c r="Q225" s="58"/>
      <c r="R225" s="47"/>
      <c r="S225" s="50"/>
    </row>
    <row r="226" spans="1:20" ht="15" customHeight="1" x14ac:dyDescent="0.4">
      <c r="A226">
        <f t="shared" si="3"/>
        <v>225</v>
      </c>
      <c r="B226" s="40" t="s">
        <v>605</v>
      </c>
      <c r="C226" s="51" t="s">
        <v>1761</v>
      </c>
      <c r="D226" s="52" t="s">
        <v>711</v>
      </c>
      <c r="E226" s="52" t="s">
        <v>1762</v>
      </c>
      <c r="F226" s="52" t="s">
        <v>1763</v>
      </c>
      <c r="G226" s="52" t="s">
        <v>1764</v>
      </c>
      <c r="H226" s="90" t="s">
        <v>1765</v>
      </c>
      <c r="I226" s="52" t="s">
        <v>649</v>
      </c>
      <c r="J226" s="52" t="s">
        <v>813</v>
      </c>
      <c r="K226" s="54" t="s">
        <v>614</v>
      </c>
      <c r="L226" s="52" t="s">
        <v>615</v>
      </c>
      <c r="M226" s="45"/>
      <c r="N226" s="118"/>
      <c r="O226" s="42"/>
      <c r="P226" s="57"/>
      <c r="Q226" s="63"/>
      <c r="R226" s="47"/>
      <c r="S226" s="69"/>
      <c r="T226" s="33"/>
    </row>
    <row r="227" spans="1:20" ht="15" customHeight="1" x14ac:dyDescent="0.4">
      <c r="A227">
        <f t="shared" si="3"/>
        <v>226</v>
      </c>
      <c r="B227" s="40" t="s">
        <v>605</v>
      </c>
      <c r="C227" s="51" t="s">
        <v>1766</v>
      </c>
      <c r="D227" s="52" t="s">
        <v>711</v>
      </c>
      <c r="E227" s="52" t="s">
        <v>887</v>
      </c>
      <c r="F227" s="52" t="s">
        <v>1767</v>
      </c>
      <c r="G227" s="52" t="s">
        <v>1768</v>
      </c>
      <c r="H227" s="82" t="s">
        <v>1769</v>
      </c>
      <c r="I227" s="52" t="s">
        <v>649</v>
      </c>
      <c r="J227" s="52" t="s">
        <v>751</v>
      </c>
      <c r="K227" s="54" t="s">
        <v>614</v>
      </c>
      <c r="L227" s="52" t="s">
        <v>615</v>
      </c>
      <c r="M227" s="45"/>
      <c r="N227" s="46"/>
      <c r="O227" s="47"/>
      <c r="P227" s="57"/>
      <c r="Q227" s="63"/>
      <c r="R227" s="47"/>
      <c r="S227" s="50"/>
    </row>
    <row r="228" spans="1:20" ht="15" customHeight="1" x14ac:dyDescent="0.4">
      <c r="A228">
        <f t="shared" si="3"/>
        <v>227</v>
      </c>
      <c r="B228" s="40" t="s">
        <v>605</v>
      </c>
      <c r="C228" s="51" t="s">
        <v>1770</v>
      </c>
      <c r="D228" s="52" t="s">
        <v>711</v>
      </c>
      <c r="E228" s="52" t="s">
        <v>1771</v>
      </c>
      <c r="F228" s="52" t="s">
        <v>1772</v>
      </c>
      <c r="G228" s="52" t="s">
        <v>1773</v>
      </c>
      <c r="H228" s="53" t="s">
        <v>1774</v>
      </c>
      <c r="I228" s="52" t="s">
        <v>656</v>
      </c>
      <c r="J228" s="52" t="s">
        <v>1069</v>
      </c>
      <c r="K228" s="44" t="s">
        <v>614</v>
      </c>
      <c r="L228" s="52" t="s">
        <v>615</v>
      </c>
      <c r="M228" s="45"/>
      <c r="N228" s="46"/>
      <c r="O228" s="47"/>
      <c r="P228" s="57"/>
      <c r="Q228" s="63"/>
      <c r="R228" s="47"/>
      <c r="S228" s="50"/>
    </row>
    <row r="229" spans="1:20" ht="15" customHeight="1" x14ac:dyDescent="0.4">
      <c r="A229">
        <f t="shared" si="3"/>
        <v>228</v>
      </c>
      <c r="B229" s="40" t="s">
        <v>605</v>
      </c>
      <c r="C229" s="51" t="s">
        <v>1775</v>
      </c>
      <c r="D229" s="52" t="s">
        <v>1776</v>
      </c>
      <c r="E229" s="52" t="s">
        <v>1777</v>
      </c>
      <c r="F229" s="52" t="s">
        <v>1538</v>
      </c>
      <c r="G229" s="52" t="s">
        <v>1778</v>
      </c>
      <c r="H229" s="60" t="s">
        <v>1779</v>
      </c>
      <c r="I229" s="52" t="s">
        <v>720</v>
      </c>
      <c r="J229" s="52" t="s">
        <v>642</v>
      </c>
      <c r="K229" s="54" t="s">
        <v>614</v>
      </c>
      <c r="L229" s="52" t="s">
        <v>615</v>
      </c>
      <c r="M229" s="45"/>
      <c r="N229" s="46"/>
      <c r="O229" s="47"/>
      <c r="P229" s="57"/>
      <c r="Q229" s="63"/>
      <c r="R229" s="47"/>
      <c r="S229" s="81"/>
    </row>
    <row r="230" spans="1:20" ht="15" customHeight="1" x14ac:dyDescent="0.4">
      <c r="A230">
        <f t="shared" si="3"/>
        <v>229</v>
      </c>
      <c r="B230" s="40" t="s">
        <v>605</v>
      </c>
      <c r="C230" s="41" t="s">
        <v>1780</v>
      </c>
      <c r="D230" s="42" t="s">
        <v>1781</v>
      </c>
      <c r="E230" s="42" t="s">
        <v>1782</v>
      </c>
      <c r="F230" s="42" t="s">
        <v>1783</v>
      </c>
      <c r="G230" s="52" t="s">
        <v>1784</v>
      </c>
      <c r="H230" s="136" t="s">
        <v>1785</v>
      </c>
      <c r="I230" s="52" t="s">
        <v>703</v>
      </c>
      <c r="J230" s="44" t="s">
        <v>637</v>
      </c>
      <c r="K230" s="54" t="s">
        <v>614</v>
      </c>
      <c r="L230" s="44" t="s">
        <v>615</v>
      </c>
      <c r="M230" s="45"/>
      <c r="N230" s="46"/>
      <c r="O230" s="47"/>
      <c r="P230" s="57"/>
      <c r="Q230" s="63"/>
      <c r="R230" s="47"/>
      <c r="S230" s="50"/>
    </row>
    <row r="231" spans="1:20" ht="15" customHeight="1" x14ac:dyDescent="0.4">
      <c r="A231">
        <f t="shared" si="3"/>
        <v>230</v>
      </c>
      <c r="B231" s="40" t="s">
        <v>605</v>
      </c>
      <c r="C231" s="41" t="s">
        <v>1786</v>
      </c>
      <c r="D231" s="42" t="s">
        <v>1781</v>
      </c>
      <c r="E231" s="42" t="s">
        <v>711</v>
      </c>
      <c r="F231" s="42" t="s">
        <v>1787</v>
      </c>
      <c r="G231" s="52" t="s">
        <v>1788</v>
      </c>
      <c r="H231" s="75" t="s">
        <v>1789</v>
      </c>
      <c r="I231" s="76" t="s">
        <v>703</v>
      </c>
      <c r="J231" s="76" t="s">
        <v>1237</v>
      </c>
      <c r="K231" s="128" t="s">
        <v>614</v>
      </c>
      <c r="L231" s="76" t="s">
        <v>615</v>
      </c>
      <c r="M231" s="45"/>
      <c r="N231" s="46"/>
      <c r="O231" s="47"/>
      <c r="P231" s="57"/>
      <c r="Q231" s="63"/>
      <c r="R231" s="47"/>
      <c r="S231" s="50"/>
    </row>
    <row r="232" spans="1:20" ht="15" customHeight="1" x14ac:dyDescent="0.4">
      <c r="A232">
        <f t="shared" si="3"/>
        <v>231</v>
      </c>
      <c r="B232" s="40" t="s">
        <v>605</v>
      </c>
      <c r="C232" s="51" t="s">
        <v>1790</v>
      </c>
      <c r="D232" s="52" t="s">
        <v>1781</v>
      </c>
      <c r="E232" s="52" t="s">
        <v>633</v>
      </c>
      <c r="F232" s="52" t="s">
        <v>1791</v>
      </c>
      <c r="G232" s="52" t="s">
        <v>1792</v>
      </c>
      <c r="H232" s="60" t="s">
        <v>1793</v>
      </c>
      <c r="I232" s="52" t="s">
        <v>649</v>
      </c>
      <c r="J232" s="52" t="s">
        <v>631</v>
      </c>
      <c r="K232" s="54" t="s">
        <v>614</v>
      </c>
      <c r="L232" s="52" t="s">
        <v>615</v>
      </c>
      <c r="M232" s="80"/>
      <c r="N232" s="46"/>
      <c r="O232" s="47"/>
      <c r="P232" s="57"/>
      <c r="Q232" s="63"/>
      <c r="R232" s="47"/>
      <c r="S232" s="50"/>
    </row>
    <row r="233" spans="1:20" ht="15" customHeight="1" x14ac:dyDescent="0.4">
      <c r="A233">
        <f t="shared" si="3"/>
        <v>232</v>
      </c>
      <c r="B233" s="40" t="s">
        <v>605</v>
      </c>
      <c r="C233" s="51" t="s">
        <v>1794</v>
      </c>
      <c r="D233" s="52" t="s">
        <v>1795</v>
      </c>
      <c r="E233" s="52" t="s">
        <v>1297</v>
      </c>
      <c r="F233" s="52" t="s">
        <v>1796</v>
      </c>
      <c r="G233" s="52" t="s">
        <v>1797</v>
      </c>
      <c r="H233" s="53" t="s">
        <v>1798</v>
      </c>
      <c r="I233" s="52" t="s">
        <v>703</v>
      </c>
      <c r="J233" s="53" t="s">
        <v>728</v>
      </c>
      <c r="K233" s="128" t="s">
        <v>614</v>
      </c>
      <c r="L233" s="52" t="s">
        <v>615</v>
      </c>
      <c r="M233" s="45"/>
      <c r="N233" s="46"/>
      <c r="O233" s="47"/>
      <c r="P233" s="57"/>
      <c r="Q233" s="58"/>
      <c r="R233" s="47"/>
      <c r="S233" s="50"/>
    </row>
    <row r="234" spans="1:20" ht="15" customHeight="1" x14ac:dyDescent="0.4">
      <c r="A234">
        <f t="shared" si="3"/>
        <v>233</v>
      </c>
      <c r="B234" s="40" t="s">
        <v>605</v>
      </c>
      <c r="C234" s="51" t="s">
        <v>1799</v>
      </c>
      <c r="D234" s="52" t="s">
        <v>1800</v>
      </c>
      <c r="E234" s="52" t="s">
        <v>1801</v>
      </c>
      <c r="F234" s="52" t="s">
        <v>1802</v>
      </c>
      <c r="G234" s="52" t="s">
        <v>1803</v>
      </c>
      <c r="H234" s="82" t="s">
        <v>1804</v>
      </c>
      <c r="I234" s="52" t="s">
        <v>757</v>
      </c>
      <c r="J234" s="52" t="s">
        <v>637</v>
      </c>
      <c r="K234" s="54" t="s">
        <v>614</v>
      </c>
      <c r="L234" s="52" t="s">
        <v>615</v>
      </c>
      <c r="M234" s="45"/>
      <c r="N234" s="46"/>
      <c r="O234" s="47"/>
      <c r="P234" s="57"/>
      <c r="Q234" s="63"/>
      <c r="R234" s="47"/>
      <c r="S234" s="50"/>
    </row>
    <row r="235" spans="1:20" ht="15" customHeight="1" x14ac:dyDescent="0.4">
      <c r="A235">
        <f t="shared" si="3"/>
        <v>234</v>
      </c>
      <c r="B235" s="40" t="s">
        <v>605</v>
      </c>
      <c r="C235" s="51" t="s">
        <v>1805</v>
      </c>
      <c r="D235" s="53" t="s">
        <v>1800</v>
      </c>
      <c r="E235" s="53" t="s">
        <v>652</v>
      </c>
      <c r="F235" s="53" t="s">
        <v>1806</v>
      </c>
      <c r="G235" s="53" t="s">
        <v>1807</v>
      </c>
      <c r="H235" s="60" t="s">
        <v>1808</v>
      </c>
      <c r="I235" s="52" t="s">
        <v>703</v>
      </c>
      <c r="J235" s="53" t="s">
        <v>704</v>
      </c>
      <c r="K235" s="128" t="s">
        <v>614</v>
      </c>
      <c r="L235" s="52" t="s">
        <v>615</v>
      </c>
      <c r="M235" s="45"/>
      <c r="N235" s="46"/>
      <c r="O235" s="47"/>
      <c r="P235" s="57"/>
      <c r="Q235" s="63"/>
      <c r="R235" s="47"/>
      <c r="S235" s="50"/>
    </row>
    <row r="236" spans="1:20" ht="15" customHeight="1" x14ac:dyDescent="0.4">
      <c r="A236">
        <f t="shared" si="3"/>
        <v>235</v>
      </c>
      <c r="B236" s="40" t="s">
        <v>605</v>
      </c>
      <c r="C236" s="51" t="s">
        <v>1809</v>
      </c>
      <c r="D236" s="52" t="s">
        <v>1810</v>
      </c>
      <c r="E236" s="52" t="s">
        <v>1104</v>
      </c>
      <c r="F236" s="52" t="s">
        <v>1811</v>
      </c>
      <c r="G236" s="52" t="s">
        <v>1812</v>
      </c>
      <c r="H236" s="107" t="s">
        <v>1813</v>
      </c>
      <c r="I236" s="52" t="s">
        <v>649</v>
      </c>
      <c r="J236" s="52" t="s">
        <v>704</v>
      </c>
      <c r="K236" s="54" t="s">
        <v>614</v>
      </c>
      <c r="L236" s="52" t="s">
        <v>615</v>
      </c>
      <c r="M236" s="45"/>
      <c r="N236" s="46"/>
      <c r="O236" s="47"/>
      <c r="P236" s="57"/>
      <c r="Q236" s="63"/>
      <c r="R236" s="47"/>
      <c r="S236" s="69"/>
    </row>
    <row r="237" spans="1:20" ht="15" customHeight="1" x14ac:dyDescent="0.4">
      <c r="A237">
        <f t="shared" si="3"/>
        <v>236</v>
      </c>
      <c r="B237" s="40" t="s">
        <v>605</v>
      </c>
      <c r="C237" s="51" t="s">
        <v>1814</v>
      </c>
      <c r="D237" s="52" t="s">
        <v>1815</v>
      </c>
      <c r="E237" s="52" t="s">
        <v>1748</v>
      </c>
      <c r="F237" s="52" t="s">
        <v>1816</v>
      </c>
      <c r="G237" s="52" t="s">
        <v>1817</v>
      </c>
      <c r="H237" s="59" t="s">
        <v>1818</v>
      </c>
      <c r="I237" s="52" t="s">
        <v>683</v>
      </c>
      <c r="J237" s="52" t="s">
        <v>751</v>
      </c>
      <c r="K237" s="54" t="s">
        <v>614</v>
      </c>
      <c r="L237" s="44" t="s">
        <v>615</v>
      </c>
      <c r="M237" s="56"/>
      <c r="N237" s="40"/>
      <c r="O237" s="47"/>
      <c r="P237" s="72"/>
      <c r="Q237" s="63"/>
      <c r="R237" s="47"/>
      <c r="S237" s="137"/>
      <c r="T237" s="33"/>
    </row>
    <row r="238" spans="1:20" ht="15" customHeight="1" x14ac:dyDescent="0.4">
      <c r="A238">
        <f t="shared" si="3"/>
        <v>237</v>
      </c>
      <c r="B238" s="40" t="s">
        <v>605</v>
      </c>
      <c r="C238" s="51" t="s">
        <v>367</v>
      </c>
      <c r="D238" s="52" t="s">
        <v>1819</v>
      </c>
      <c r="E238" s="52" t="s">
        <v>716</v>
      </c>
      <c r="F238" s="52" t="s">
        <v>1820</v>
      </c>
      <c r="G238" s="52" t="s">
        <v>1821</v>
      </c>
      <c r="H238" s="82" t="s">
        <v>191</v>
      </c>
      <c r="I238" s="52" t="s">
        <v>641</v>
      </c>
      <c r="J238" s="52" t="s">
        <v>778</v>
      </c>
      <c r="K238" s="128" t="s">
        <v>614</v>
      </c>
      <c r="L238" s="52" t="s">
        <v>643</v>
      </c>
      <c r="M238" s="56"/>
      <c r="N238" s="46"/>
      <c r="O238" s="47"/>
      <c r="P238" s="57"/>
      <c r="Q238" s="63"/>
      <c r="R238" s="47"/>
      <c r="S238" s="81"/>
    </row>
    <row r="239" spans="1:20" ht="15" customHeight="1" x14ac:dyDescent="0.4">
      <c r="A239">
        <f t="shared" si="3"/>
        <v>238</v>
      </c>
      <c r="B239" s="40" t="s">
        <v>605</v>
      </c>
      <c r="C239" s="51" t="s">
        <v>1822</v>
      </c>
      <c r="D239" s="52" t="s">
        <v>1823</v>
      </c>
      <c r="E239" s="52" t="s">
        <v>832</v>
      </c>
      <c r="F239" s="52" t="s">
        <v>1824</v>
      </c>
      <c r="G239" s="52" t="s">
        <v>1825</v>
      </c>
      <c r="H239" s="82" t="s">
        <v>1826</v>
      </c>
      <c r="I239" s="52" t="s">
        <v>913</v>
      </c>
      <c r="J239" s="52" t="s">
        <v>676</v>
      </c>
      <c r="K239" s="54" t="s">
        <v>614</v>
      </c>
      <c r="L239" s="52" t="s">
        <v>615</v>
      </c>
      <c r="M239" s="45"/>
      <c r="N239" s="46"/>
      <c r="O239" s="47"/>
      <c r="P239" s="57"/>
      <c r="Q239" s="63"/>
      <c r="R239" s="47"/>
      <c r="S239" s="81"/>
    </row>
    <row r="240" spans="1:20" ht="15" customHeight="1" x14ac:dyDescent="0.4">
      <c r="A240">
        <f t="shared" si="3"/>
        <v>239</v>
      </c>
      <c r="B240" s="40" t="s">
        <v>605</v>
      </c>
      <c r="C240" s="51" t="s">
        <v>314</v>
      </c>
      <c r="D240" s="52" t="s">
        <v>1823</v>
      </c>
      <c r="E240" s="52" t="s">
        <v>1827</v>
      </c>
      <c r="F240" s="52" t="s">
        <v>1828</v>
      </c>
      <c r="G240" s="52" t="s">
        <v>1829</v>
      </c>
      <c r="H240" s="83" t="s">
        <v>106</v>
      </c>
      <c r="I240" s="52" t="s">
        <v>1055</v>
      </c>
      <c r="J240" s="52" t="s">
        <v>1069</v>
      </c>
      <c r="K240" s="54" t="s">
        <v>614</v>
      </c>
      <c r="L240" s="52" t="s">
        <v>615</v>
      </c>
      <c r="M240" s="45"/>
      <c r="N240" s="46"/>
      <c r="O240" s="47"/>
      <c r="P240" s="57"/>
      <c r="Q240" s="63"/>
      <c r="R240" s="47"/>
      <c r="S240" s="81"/>
    </row>
    <row r="241" spans="1:20" ht="15" customHeight="1" x14ac:dyDescent="0.4">
      <c r="A241">
        <f t="shared" si="3"/>
        <v>240</v>
      </c>
      <c r="B241" s="40" t="s">
        <v>605</v>
      </c>
      <c r="C241" s="41" t="s">
        <v>1830</v>
      </c>
      <c r="D241" s="44" t="s">
        <v>1823</v>
      </c>
      <c r="E241" s="44" t="s">
        <v>1831</v>
      </c>
      <c r="F241" s="44" t="s">
        <v>1832</v>
      </c>
      <c r="G241" s="44" t="s">
        <v>1833</v>
      </c>
      <c r="H241" s="43" t="s">
        <v>1834</v>
      </c>
      <c r="I241" s="42" t="s">
        <v>641</v>
      </c>
      <c r="J241" s="42" t="s">
        <v>1033</v>
      </c>
      <c r="K241" s="128" t="s">
        <v>614</v>
      </c>
      <c r="L241" s="44" t="s">
        <v>615</v>
      </c>
      <c r="M241" s="45"/>
      <c r="N241" s="46"/>
      <c r="O241" s="47"/>
      <c r="P241" s="57"/>
      <c r="Q241" s="58"/>
      <c r="R241" s="47"/>
      <c r="S241" s="50"/>
    </row>
    <row r="242" spans="1:20" ht="15" customHeight="1" x14ac:dyDescent="0.4">
      <c r="A242">
        <f t="shared" si="3"/>
        <v>241</v>
      </c>
      <c r="B242" s="40" t="s">
        <v>605</v>
      </c>
      <c r="C242" s="51" t="s">
        <v>1835</v>
      </c>
      <c r="D242" s="52" t="s">
        <v>1836</v>
      </c>
      <c r="E242" s="52" t="s">
        <v>1837</v>
      </c>
      <c r="F242" s="52" t="s">
        <v>1838</v>
      </c>
      <c r="G242" s="52" t="s">
        <v>1839</v>
      </c>
      <c r="H242" s="59" t="s">
        <v>1840</v>
      </c>
      <c r="I242" s="52" t="s">
        <v>649</v>
      </c>
      <c r="J242" s="52" t="s">
        <v>763</v>
      </c>
      <c r="K242" s="54" t="s">
        <v>614</v>
      </c>
      <c r="L242" s="52" t="s">
        <v>615</v>
      </c>
      <c r="M242" s="45"/>
      <c r="N242" s="46"/>
      <c r="O242" s="47"/>
      <c r="P242" s="57"/>
      <c r="Q242" s="63"/>
      <c r="R242" s="47"/>
      <c r="S242" s="50"/>
    </row>
    <row r="243" spans="1:20" ht="15" customHeight="1" x14ac:dyDescent="0.4">
      <c r="A243">
        <f t="shared" si="3"/>
        <v>242</v>
      </c>
      <c r="B243" s="40" t="s">
        <v>605</v>
      </c>
      <c r="C243" s="51" t="s">
        <v>1841</v>
      </c>
      <c r="D243" s="52" t="s">
        <v>969</v>
      </c>
      <c r="E243" s="52" t="s">
        <v>1842</v>
      </c>
      <c r="F243" s="52" t="s">
        <v>1843</v>
      </c>
      <c r="G243" s="52" t="s">
        <v>1844</v>
      </c>
      <c r="H243" s="60" t="s">
        <v>1845</v>
      </c>
      <c r="I243" s="52" t="s">
        <v>656</v>
      </c>
      <c r="J243" s="53" t="s">
        <v>1237</v>
      </c>
      <c r="K243" s="54" t="s">
        <v>614</v>
      </c>
      <c r="L243" s="52" t="s">
        <v>615</v>
      </c>
      <c r="M243" s="45"/>
      <c r="N243" s="46"/>
      <c r="O243" s="47"/>
      <c r="P243" s="57"/>
      <c r="Q243" s="63"/>
      <c r="R243" s="47"/>
      <c r="S243" s="50"/>
    </row>
    <row r="244" spans="1:20" ht="15" customHeight="1" x14ac:dyDescent="0.4">
      <c r="A244">
        <f t="shared" si="3"/>
        <v>243</v>
      </c>
      <c r="B244" s="40" t="s">
        <v>605</v>
      </c>
      <c r="C244" s="51" t="s">
        <v>396</v>
      </c>
      <c r="D244" s="52" t="s">
        <v>969</v>
      </c>
      <c r="E244" s="52" t="s">
        <v>1846</v>
      </c>
      <c r="F244" s="52" t="s">
        <v>1847</v>
      </c>
      <c r="G244" s="52" t="s">
        <v>1848</v>
      </c>
      <c r="H244" s="60" t="s">
        <v>178</v>
      </c>
      <c r="I244" s="52" t="s">
        <v>641</v>
      </c>
      <c r="J244" s="52" t="s">
        <v>778</v>
      </c>
      <c r="K244" s="128" t="s">
        <v>614</v>
      </c>
      <c r="L244" s="52" t="s">
        <v>643</v>
      </c>
      <c r="M244" s="56"/>
      <c r="N244" s="46"/>
      <c r="O244" s="47"/>
      <c r="P244" s="57"/>
      <c r="Q244" s="63"/>
      <c r="R244" s="47"/>
      <c r="S244" s="50"/>
    </row>
    <row r="245" spans="1:20" ht="15" customHeight="1" x14ac:dyDescent="0.4">
      <c r="A245">
        <f t="shared" si="3"/>
        <v>244</v>
      </c>
      <c r="B245" s="40" t="s">
        <v>605</v>
      </c>
      <c r="C245" s="51" t="s">
        <v>1849</v>
      </c>
      <c r="D245" s="52" t="s">
        <v>969</v>
      </c>
      <c r="E245" s="52" t="s">
        <v>1850</v>
      </c>
      <c r="F245" s="52" t="s">
        <v>1851</v>
      </c>
      <c r="G245" s="52" t="s">
        <v>1852</v>
      </c>
      <c r="H245" s="59" t="s">
        <v>1853</v>
      </c>
      <c r="I245" s="52" t="s">
        <v>703</v>
      </c>
      <c r="J245" s="52" t="s">
        <v>697</v>
      </c>
      <c r="K245" s="54" t="s">
        <v>614</v>
      </c>
      <c r="L245" s="44" t="s">
        <v>615</v>
      </c>
      <c r="M245" s="45"/>
      <c r="N245" s="118"/>
      <c r="O245" s="52"/>
      <c r="P245" s="57"/>
      <c r="Q245" s="63"/>
      <c r="R245" s="47"/>
      <c r="S245" s="69"/>
    </row>
    <row r="246" spans="1:20" ht="15" customHeight="1" x14ac:dyDescent="0.4">
      <c r="A246">
        <f t="shared" si="3"/>
        <v>245</v>
      </c>
      <c r="B246" s="40" t="s">
        <v>605</v>
      </c>
      <c r="C246" s="51" t="s">
        <v>1854</v>
      </c>
      <c r="D246" s="52" t="s">
        <v>1855</v>
      </c>
      <c r="E246" s="52" t="s">
        <v>827</v>
      </c>
      <c r="F246" s="52" t="s">
        <v>1856</v>
      </c>
      <c r="G246" s="52" t="s">
        <v>1857</v>
      </c>
      <c r="H246" s="60" t="s">
        <v>1858</v>
      </c>
      <c r="I246" s="53" t="s">
        <v>799</v>
      </c>
      <c r="J246" s="52" t="s">
        <v>751</v>
      </c>
      <c r="K246" s="54" t="s">
        <v>614</v>
      </c>
      <c r="L246" s="52" t="s">
        <v>615</v>
      </c>
      <c r="M246" s="45"/>
      <c r="N246" s="46"/>
      <c r="O246" s="47"/>
      <c r="P246" s="72"/>
      <c r="Q246" s="63"/>
      <c r="R246" s="47"/>
      <c r="S246" s="64"/>
    </row>
    <row r="247" spans="1:20" ht="15" customHeight="1" x14ac:dyDescent="0.4">
      <c r="A247">
        <f t="shared" si="3"/>
        <v>246</v>
      </c>
      <c r="B247" s="40" t="s">
        <v>605</v>
      </c>
      <c r="C247" s="41" t="s">
        <v>393</v>
      </c>
      <c r="D247" s="52" t="s">
        <v>1855</v>
      </c>
      <c r="E247" s="42" t="s">
        <v>1676</v>
      </c>
      <c r="F247" s="42" t="s">
        <v>1859</v>
      </c>
      <c r="G247" s="42" t="s">
        <v>1860</v>
      </c>
      <c r="H247" s="59" t="s">
        <v>147</v>
      </c>
      <c r="I247" s="42" t="s">
        <v>641</v>
      </c>
      <c r="J247" s="42" t="s">
        <v>778</v>
      </c>
      <c r="K247" s="54" t="s">
        <v>614</v>
      </c>
      <c r="L247" s="52" t="s">
        <v>643</v>
      </c>
      <c r="M247" s="45"/>
      <c r="N247" s="46"/>
      <c r="O247" s="47"/>
      <c r="P247" s="57"/>
      <c r="Q247" s="63"/>
      <c r="R247" s="47"/>
      <c r="S247" s="50"/>
    </row>
    <row r="248" spans="1:20" ht="15" customHeight="1" x14ac:dyDescent="0.4">
      <c r="A248">
        <f t="shared" si="3"/>
        <v>247</v>
      </c>
      <c r="B248" s="40" t="s">
        <v>605</v>
      </c>
      <c r="C248" s="41" t="s">
        <v>1861</v>
      </c>
      <c r="D248" s="52" t="s">
        <v>1862</v>
      </c>
      <c r="E248" s="42" t="s">
        <v>1863</v>
      </c>
      <c r="F248" s="42" t="s">
        <v>1864</v>
      </c>
      <c r="G248" s="42" t="s">
        <v>1865</v>
      </c>
      <c r="H248" s="59" t="s">
        <v>1866</v>
      </c>
      <c r="I248" s="52" t="s">
        <v>1154</v>
      </c>
      <c r="J248" s="52" t="s">
        <v>778</v>
      </c>
      <c r="K248" s="54" t="s">
        <v>614</v>
      </c>
      <c r="L248" s="52" t="s">
        <v>615</v>
      </c>
      <c r="M248" s="80"/>
      <c r="N248" s="46"/>
      <c r="O248" s="47"/>
      <c r="P248" s="57"/>
      <c r="Q248" s="63"/>
      <c r="R248" s="47"/>
      <c r="S248" s="50"/>
    </row>
    <row r="249" spans="1:20" ht="15" customHeight="1" x14ac:dyDescent="0.4">
      <c r="A249">
        <f t="shared" si="3"/>
        <v>248</v>
      </c>
      <c r="B249" s="40" t="s">
        <v>605</v>
      </c>
      <c r="C249" s="41" t="s">
        <v>1867</v>
      </c>
      <c r="D249" s="52" t="s">
        <v>1868</v>
      </c>
      <c r="E249" s="42" t="s">
        <v>1869</v>
      </c>
      <c r="F249" s="42" t="s">
        <v>1870</v>
      </c>
      <c r="G249" s="42" t="s">
        <v>1871</v>
      </c>
      <c r="H249" s="59" t="s">
        <v>1872</v>
      </c>
      <c r="I249" s="52" t="s">
        <v>1026</v>
      </c>
      <c r="J249" s="53" t="s">
        <v>676</v>
      </c>
      <c r="K249" s="54" t="s">
        <v>614</v>
      </c>
      <c r="L249" s="52" t="s">
        <v>615</v>
      </c>
      <c r="M249" s="45"/>
      <c r="N249" s="46"/>
      <c r="O249" s="47"/>
      <c r="P249" s="57"/>
      <c r="Q249" s="63"/>
      <c r="R249" s="47"/>
      <c r="S249" s="50"/>
    </row>
    <row r="250" spans="1:20" ht="15" customHeight="1" x14ac:dyDescent="0.4">
      <c r="A250">
        <f t="shared" si="3"/>
        <v>249</v>
      </c>
      <c r="B250" s="40" t="s">
        <v>605</v>
      </c>
      <c r="C250" s="51" t="s">
        <v>1873</v>
      </c>
      <c r="D250" s="52" t="s">
        <v>1874</v>
      </c>
      <c r="E250" s="52" t="s">
        <v>1875</v>
      </c>
      <c r="F250" s="52" t="s">
        <v>1876</v>
      </c>
      <c r="G250" s="52" t="s">
        <v>1877</v>
      </c>
      <c r="H250" s="60" t="s">
        <v>1878</v>
      </c>
      <c r="I250" s="52" t="s">
        <v>649</v>
      </c>
      <c r="J250" s="52" t="s">
        <v>676</v>
      </c>
      <c r="K250" s="54" t="s">
        <v>614</v>
      </c>
      <c r="L250" s="52" t="s">
        <v>615</v>
      </c>
      <c r="M250" s="80"/>
      <c r="N250" s="46"/>
      <c r="O250" s="47"/>
      <c r="P250" s="57"/>
      <c r="Q250" s="63"/>
      <c r="R250" s="47"/>
      <c r="S250" s="50"/>
    </row>
    <row r="251" spans="1:20" ht="15" customHeight="1" x14ac:dyDescent="0.4">
      <c r="A251">
        <f t="shared" si="3"/>
        <v>250</v>
      </c>
      <c r="B251" s="40" t="s">
        <v>605</v>
      </c>
      <c r="C251" s="51" t="s">
        <v>1879</v>
      </c>
      <c r="D251" s="52" t="s">
        <v>1006</v>
      </c>
      <c r="E251" s="52" t="s">
        <v>808</v>
      </c>
      <c r="F251" s="52" t="s">
        <v>1880</v>
      </c>
      <c r="G251" s="52" t="s">
        <v>1881</v>
      </c>
      <c r="H251" s="53" t="s">
        <v>1882</v>
      </c>
      <c r="I251" s="52" t="s">
        <v>720</v>
      </c>
      <c r="J251" s="52" t="s">
        <v>1033</v>
      </c>
      <c r="K251" s="54" t="s">
        <v>614</v>
      </c>
      <c r="L251" s="52" t="s">
        <v>615</v>
      </c>
      <c r="M251" s="45"/>
      <c r="N251" s="46"/>
      <c r="O251" s="47"/>
      <c r="P251" s="72"/>
      <c r="Q251" s="58"/>
      <c r="R251" s="47"/>
      <c r="S251" s="50"/>
    </row>
    <row r="252" spans="1:20" ht="15" customHeight="1" x14ac:dyDescent="0.4">
      <c r="A252">
        <f t="shared" si="3"/>
        <v>251</v>
      </c>
      <c r="B252" s="40" t="s">
        <v>605</v>
      </c>
      <c r="C252" s="51" t="s">
        <v>1883</v>
      </c>
      <c r="D252" s="52" t="s">
        <v>1006</v>
      </c>
      <c r="E252" s="52" t="s">
        <v>975</v>
      </c>
      <c r="F252" s="52" t="s">
        <v>1884</v>
      </c>
      <c r="G252" s="52" t="s">
        <v>1885</v>
      </c>
      <c r="H252" s="60" t="s">
        <v>1886</v>
      </c>
      <c r="I252" s="52" t="s">
        <v>1032</v>
      </c>
      <c r="J252" s="52" t="s">
        <v>642</v>
      </c>
      <c r="K252" s="54" t="s">
        <v>614</v>
      </c>
      <c r="L252" s="52" t="s">
        <v>615</v>
      </c>
      <c r="M252" s="45"/>
      <c r="N252" s="46"/>
      <c r="O252" s="47"/>
      <c r="P252" s="57"/>
      <c r="Q252" s="63"/>
      <c r="R252" s="47"/>
      <c r="S252" s="50"/>
    </row>
    <row r="253" spans="1:20" ht="15" customHeight="1" x14ac:dyDescent="0.4">
      <c r="A253">
        <f t="shared" si="3"/>
        <v>252</v>
      </c>
      <c r="B253" s="40" t="s">
        <v>605</v>
      </c>
      <c r="C253" s="51" t="s">
        <v>1887</v>
      </c>
      <c r="D253" s="52" t="s">
        <v>1888</v>
      </c>
      <c r="E253" s="52" t="s">
        <v>921</v>
      </c>
      <c r="F253" s="52" t="s">
        <v>1811</v>
      </c>
      <c r="G253" s="52" t="s">
        <v>1889</v>
      </c>
      <c r="H253" s="59" t="s">
        <v>1890</v>
      </c>
      <c r="I253" s="52" t="s">
        <v>734</v>
      </c>
      <c r="J253" s="52" t="s">
        <v>825</v>
      </c>
      <c r="K253" s="54" t="s">
        <v>614</v>
      </c>
      <c r="L253" s="52" t="s">
        <v>615</v>
      </c>
      <c r="M253" s="45"/>
      <c r="N253" s="46"/>
      <c r="O253" s="47"/>
      <c r="P253" s="57"/>
      <c r="Q253" s="63"/>
      <c r="R253" s="47"/>
      <c r="S253" s="50"/>
    </row>
    <row r="254" spans="1:20" ht="15" customHeight="1" x14ac:dyDescent="0.4">
      <c r="A254">
        <f t="shared" si="3"/>
        <v>253</v>
      </c>
      <c r="B254" s="40" t="s">
        <v>605</v>
      </c>
      <c r="C254" s="51" t="s">
        <v>340</v>
      </c>
      <c r="D254" s="52" t="s">
        <v>952</v>
      </c>
      <c r="E254" s="52" t="s">
        <v>1891</v>
      </c>
      <c r="F254" s="52" t="s">
        <v>1892</v>
      </c>
      <c r="G254" s="52" t="s">
        <v>1893</v>
      </c>
      <c r="H254" s="53" t="s">
        <v>216</v>
      </c>
      <c r="I254" s="53" t="s">
        <v>1894</v>
      </c>
      <c r="J254" s="53" t="s">
        <v>778</v>
      </c>
      <c r="K254" s="44" t="s">
        <v>614</v>
      </c>
      <c r="L254" s="52" t="s">
        <v>643</v>
      </c>
      <c r="M254" s="56"/>
      <c r="N254" s="46"/>
      <c r="O254" s="47"/>
      <c r="P254" s="57"/>
      <c r="Q254" s="63"/>
      <c r="R254" s="47"/>
      <c r="S254" s="50"/>
    </row>
    <row r="255" spans="1:20" ht="15" customHeight="1" x14ac:dyDescent="0.4">
      <c r="A255">
        <f t="shared" si="3"/>
        <v>254</v>
      </c>
      <c r="B255" s="40" t="s">
        <v>605</v>
      </c>
      <c r="C255" s="51" t="s">
        <v>1895</v>
      </c>
      <c r="D255" s="52" t="s">
        <v>952</v>
      </c>
      <c r="E255" s="52" t="s">
        <v>1198</v>
      </c>
      <c r="F255" s="52" t="s">
        <v>1896</v>
      </c>
      <c r="G255" s="52" t="s">
        <v>1897</v>
      </c>
      <c r="H255" s="53" t="s">
        <v>1898</v>
      </c>
      <c r="I255" s="52" t="s">
        <v>703</v>
      </c>
      <c r="J255" s="52" t="s">
        <v>623</v>
      </c>
      <c r="K255" s="54" t="s">
        <v>614</v>
      </c>
      <c r="L255" s="52" t="s">
        <v>615</v>
      </c>
      <c r="M255" s="45"/>
      <c r="N255" s="46"/>
      <c r="O255" s="47"/>
      <c r="P255" s="57"/>
      <c r="Q255" s="63"/>
      <c r="R255" s="47"/>
      <c r="S255" s="50"/>
    </row>
    <row r="256" spans="1:20" ht="15" customHeight="1" x14ac:dyDescent="0.4">
      <c r="A256">
        <f t="shared" si="3"/>
        <v>255</v>
      </c>
      <c r="B256" s="40" t="s">
        <v>605</v>
      </c>
      <c r="C256" s="51" t="s">
        <v>1899</v>
      </c>
      <c r="D256" s="52" t="s">
        <v>952</v>
      </c>
      <c r="E256" s="52" t="s">
        <v>1900</v>
      </c>
      <c r="F256" s="52" t="s">
        <v>1901</v>
      </c>
      <c r="G256" s="52" t="s">
        <v>1902</v>
      </c>
      <c r="H256" s="82" t="s">
        <v>1903</v>
      </c>
      <c r="I256" s="52" t="s">
        <v>1055</v>
      </c>
      <c r="J256" s="52" t="s">
        <v>657</v>
      </c>
      <c r="K256" s="54" t="s">
        <v>614</v>
      </c>
      <c r="L256" s="52" t="s">
        <v>615</v>
      </c>
      <c r="M256" s="45"/>
      <c r="N256" s="46"/>
      <c r="O256" s="47"/>
      <c r="P256" s="57"/>
      <c r="Q256" s="58"/>
      <c r="R256" s="47"/>
      <c r="S256" s="81"/>
      <c r="T256" s="138"/>
    </row>
    <row r="257" spans="1:20" ht="15" customHeight="1" x14ac:dyDescent="0.4">
      <c r="A257">
        <f t="shared" si="3"/>
        <v>256</v>
      </c>
      <c r="B257" s="40" t="s">
        <v>605</v>
      </c>
      <c r="C257" s="51" t="s">
        <v>1904</v>
      </c>
      <c r="D257" s="52" t="s">
        <v>1221</v>
      </c>
      <c r="E257" s="52" t="s">
        <v>1000</v>
      </c>
      <c r="F257" s="52" t="s">
        <v>1905</v>
      </c>
      <c r="G257" s="52" t="s">
        <v>1906</v>
      </c>
      <c r="H257" s="53" t="s">
        <v>1907</v>
      </c>
      <c r="I257" s="52" t="s">
        <v>683</v>
      </c>
      <c r="J257" s="52" t="s">
        <v>631</v>
      </c>
      <c r="K257" s="54" t="s">
        <v>614</v>
      </c>
      <c r="L257" s="52" t="s">
        <v>643</v>
      </c>
      <c r="M257" s="56"/>
      <c r="N257" s="46"/>
      <c r="O257" s="47"/>
      <c r="P257" s="57"/>
      <c r="Q257" s="63"/>
      <c r="R257" s="47"/>
      <c r="S257" s="50"/>
    </row>
    <row r="258" spans="1:20" ht="15" customHeight="1" x14ac:dyDescent="0.4">
      <c r="A258">
        <f t="shared" si="3"/>
        <v>257</v>
      </c>
      <c r="B258" s="40" t="s">
        <v>605</v>
      </c>
      <c r="C258" s="51" t="s">
        <v>1908</v>
      </c>
      <c r="D258" s="52" t="s">
        <v>1221</v>
      </c>
      <c r="E258" s="52" t="s">
        <v>1000</v>
      </c>
      <c r="F258" s="52" t="s">
        <v>1909</v>
      </c>
      <c r="G258" s="52" t="s">
        <v>1910</v>
      </c>
      <c r="H258" s="53" t="s">
        <v>1911</v>
      </c>
      <c r="I258" s="52" t="s">
        <v>656</v>
      </c>
      <c r="J258" s="52" t="s">
        <v>836</v>
      </c>
      <c r="K258" s="44" t="s">
        <v>614</v>
      </c>
      <c r="L258" s="52" t="s">
        <v>615</v>
      </c>
      <c r="M258" s="45"/>
      <c r="N258" s="46"/>
      <c r="O258" s="47"/>
      <c r="P258" s="57"/>
      <c r="Q258" s="63"/>
      <c r="R258" s="47"/>
      <c r="S258" s="50"/>
    </row>
    <row r="259" spans="1:20" ht="15" customHeight="1" x14ac:dyDescent="0.4">
      <c r="A259">
        <f t="shared" si="3"/>
        <v>258</v>
      </c>
      <c r="B259" s="40" t="s">
        <v>605</v>
      </c>
      <c r="C259" s="51" t="s">
        <v>1912</v>
      </c>
      <c r="D259" s="52" t="s">
        <v>1913</v>
      </c>
      <c r="E259" s="52" t="s">
        <v>1454</v>
      </c>
      <c r="F259" s="52" t="s">
        <v>1914</v>
      </c>
      <c r="G259" s="52" t="s">
        <v>1915</v>
      </c>
      <c r="H259" s="53" t="s">
        <v>1916</v>
      </c>
      <c r="I259" s="52" t="s">
        <v>861</v>
      </c>
      <c r="J259" s="52" t="s">
        <v>813</v>
      </c>
      <c r="K259" s="54" t="s">
        <v>614</v>
      </c>
      <c r="L259" s="52" t="s">
        <v>615</v>
      </c>
      <c r="M259" s="45"/>
      <c r="N259" s="46"/>
      <c r="O259" s="47"/>
      <c r="P259" s="57"/>
      <c r="Q259" s="63"/>
      <c r="R259" s="47"/>
      <c r="S259" s="50"/>
    </row>
    <row r="260" spans="1:20" ht="15" customHeight="1" x14ac:dyDescent="0.4">
      <c r="A260">
        <f t="shared" ref="A260:A323" si="4">A259+1</f>
        <v>259</v>
      </c>
      <c r="B260" s="40" t="s">
        <v>605</v>
      </c>
      <c r="C260" s="51" t="s">
        <v>282</v>
      </c>
      <c r="D260" s="52" t="s">
        <v>1917</v>
      </c>
      <c r="E260" s="52" t="s">
        <v>1918</v>
      </c>
      <c r="F260" s="52" t="s">
        <v>1919</v>
      </c>
      <c r="G260" s="52" t="s">
        <v>1920</v>
      </c>
      <c r="H260" s="53" t="s">
        <v>1921</v>
      </c>
      <c r="I260" s="52" t="s">
        <v>830</v>
      </c>
      <c r="J260" s="52" t="s">
        <v>778</v>
      </c>
      <c r="K260" s="54" t="s">
        <v>614</v>
      </c>
      <c r="L260" s="52" t="s">
        <v>615</v>
      </c>
      <c r="M260" s="45"/>
      <c r="N260" s="46"/>
      <c r="O260" s="47"/>
      <c r="P260" s="57"/>
      <c r="Q260" s="63"/>
      <c r="R260" s="47"/>
      <c r="S260" s="50"/>
    </row>
    <row r="261" spans="1:20" ht="15" customHeight="1" x14ac:dyDescent="0.4">
      <c r="A261">
        <f t="shared" si="4"/>
        <v>260</v>
      </c>
      <c r="B261" s="40" t="s">
        <v>605</v>
      </c>
      <c r="C261" s="51" t="s">
        <v>1922</v>
      </c>
      <c r="D261" s="52" t="s">
        <v>1923</v>
      </c>
      <c r="E261" s="52" t="s">
        <v>1924</v>
      </c>
      <c r="F261" s="52" t="s">
        <v>1925</v>
      </c>
      <c r="G261" s="52" t="s">
        <v>1926</v>
      </c>
      <c r="H261" s="107" t="s">
        <v>1927</v>
      </c>
      <c r="I261" s="53" t="s">
        <v>703</v>
      </c>
      <c r="J261" s="53" t="s">
        <v>623</v>
      </c>
      <c r="K261" s="54" t="s">
        <v>614</v>
      </c>
      <c r="L261" s="52" t="s">
        <v>615</v>
      </c>
      <c r="M261" s="45"/>
      <c r="N261" s="46"/>
      <c r="O261" s="47"/>
      <c r="P261" s="57"/>
      <c r="Q261" s="63"/>
      <c r="R261" s="47"/>
      <c r="S261" s="50"/>
    </row>
    <row r="262" spans="1:20" ht="15" customHeight="1" x14ac:dyDescent="0.4">
      <c r="A262">
        <f t="shared" si="4"/>
        <v>261</v>
      </c>
      <c r="B262" s="40" t="s">
        <v>605</v>
      </c>
      <c r="C262" s="51" t="s">
        <v>1928</v>
      </c>
      <c r="D262" s="52" t="s">
        <v>887</v>
      </c>
      <c r="E262" s="52" t="s">
        <v>1929</v>
      </c>
      <c r="F262" s="52" t="s">
        <v>1930</v>
      </c>
      <c r="G262" s="52" t="s">
        <v>1931</v>
      </c>
      <c r="H262" s="60" t="s">
        <v>1932</v>
      </c>
      <c r="I262" s="52" t="s">
        <v>757</v>
      </c>
      <c r="J262" s="52" t="s">
        <v>704</v>
      </c>
      <c r="K262" s="44" t="s">
        <v>614</v>
      </c>
      <c r="L262" s="52" t="s">
        <v>615</v>
      </c>
      <c r="M262" s="45"/>
      <c r="N262" s="46"/>
      <c r="O262" s="47"/>
      <c r="P262" s="57"/>
      <c r="Q262" s="63"/>
      <c r="R262" s="47"/>
      <c r="S262" s="50"/>
    </row>
    <row r="263" spans="1:20" ht="15" customHeight="1" x14ac:dyDescent="0.4">
      <c r="A263">
        <f t="shared" si="4"/>
        <v>262</v>
      </c>
      <c r="B263" s="40" t="s">
        <v>605</v>
      </c>
      <c r="C263" s="51" t="s">
        <v>1933</v>
      </c>
      <c r="D263" s="52" t="s">
        <v>1934</v>
      </c>
      <c r="E263" s="52" t="s">
        <v>1935</v>
      </c>
      <c r="F263" s="52" t="s">
        <v>1936</v>
      </c>
      <c r="G263" s="52" t="s">
        <v>1937</v>
      </c>
      <c r="H263" s="60" t="s">
        <v>1938</v>
      </c>
      <c r="I263" s="52" t="s">
        <v>649</v>
      </c>
      <c r="J263" s="52" t="s">
        <v>684</v>
      </c>
      <c r="K263" s="54" t="s">
        <v>614</v>
      </c>
      <c r="L263" s="52" t="s">
        <v>615</v>
      </c>
      <c r="M263" s="45"/>
      <c r="N263" s="46"/>
      <c r="O263" s="47"/>
      <c r="P263" s="57"/>
      <c r="Q263" s="63"/>
      <c r="R263" s="47"/>
      <c r="S263" s="81"/>
    </row>
    <row r="264" spans="1:20" ht="15" customHeight="1" x14ac:dyDescent="0.4">
      <c r="A264">
        <f t="shared" si="4"/>
        <v>263</v>
      </c>
      <c r="B264" s="40" t="s">
        <v>605</v>
      </c>
      <c r="C264" s="51" t="s">
        <v>1939</v>
      </c>
      <c r="D264" s="53" t="s">
        <v>1940</v>
      </c>
      <c r="E264" s="53" t="s">
        <v>1941</v>
      </c>
      <c r="F264" s="53" t="s">
        <v>1942</v>
      </c>
      <c r="G264" s="53" t="s">
        <v>1943</v>
      </c>
      <c r="H264" s="82" t="s">
        <v>1944</v>
      </c>
      <c r="I264" s="52" t="s">
        <v>703</v>
      </c>
      <c r="J264" s="53" t="s">
        <v>613</v>
      </c>
      <c r="K264" s="54" t="s">
        <v>614</v>
      </c>
      <c r="L264" s="52" t="s">
        <v>615</v>
      </c>
      <c r="M264" s="45"/>
      <c r="N264" s="46"/>
      <c r="O264" s="47"/>
      <c r="P264" s="57"/>
      <c r="Q264" s="63"/>
      <c r="R264" s="47"/>
      <c r="S264" s="91"/>
    </row>
    <row r="265" spans="1:20" ht="15" customHeight="1" x14ac:dyDescent="0.4">
      <c r="A265">
        <f t="shared" si="4"/>
        <v>264</v>
      </c>
      <c r="B265" s="40" t="s">
        <v>605</v>
      </c>
      <c r="C265" s="51" t="s">
        <v>1945</v>
      </c>
      <c r="D265" s="52" t="s">
        <v>1946</v>
      </c>
      <c r="E265" s="52" t="s">
        <v>1947</v>
      </c>
      <c r="F265" s="52" t="s">
        <v>1948</v>
      </c>
      <c r="G265" s="52" t="s">
        <v>1949</v>
      </c>
      <c r="H265" s="82" t="s">
        <v>1950</v>
      </c>
      <c r="I265" s="52" t="s">
        <v>1026</v>
      </c>
      <c r="J265" s="52" t="s">
        <v>751</v>
      </c>
      <c r="K265" s="54" t="s">
        <v>614</v>
      </c>
      <c r="L265" s="52" t="s">
        <v>615</v>
      </c>
      <c r="M265" s="45"/>
      <c r="N265" s="46"/>
      <c r="O265" s="47"/>
      <c r="P265" s="72"/>
      <c r="Q265" s="63"/>
      <c r="R265" s="47"/>
      <c r="S265" s="50"/>
    </row>
    <row r="266" spans="1:20" ht="15" customHeight="1" x14ac:dyDescent="0.4">
      <c r="A266">
        <f t="shared" si="4"/>
        <v>265</v>
      </c>
      <c r="B266" s="40" t="s">
        <v>605</v>
      </c>
      <c r="C266" s="51" t="s">
        <v>1951</v>
      </c>
      <c r="D266" s="52" t="s">
        <v>1952</v>
      </c>
      <c r="E266" s="52" t="s">
        <v>969</v>
      </c>
      <c r="F266" s="52" t="s">
        <v>1953</v>
      </c>
      <c r="G266" s="52" t="s">
        <v>1954</v>
      </c>
      <c r="H266" s="82" t="s">
        <v>1955</v>
      </c>
      <c r="I266" s="52" t="s">
        <v>703</v>
      </c>
      <c r="J266" s="52" t="s">
        <v>631</v>
      </c>
      <c r="K266" s="44" t="s">
        <v>614</v>
      </c>
      <c r="L266" s="52" t="s">
        <v>615</v>
      </c>
      <c r="M266" s="45"/>
      <c r="N266" s="46"/>
      <c r="O266" s="47"/>
      <c r="P266" s="57"/>
      <c r="Q266" s="63"/>
      <c r="R266" s="47"/>
      <c r="S266" s="50"/>
    </row>
    <row r="267" spans="1:20" ht="15" customHeight="1" x14ac:dyDescent="0.4">
      <c r="A267">
        <f t="shared" si="4"/>
        <v>266</v>
      </c>
      <c r="B267" s="40" t="s">
        <v>605</v>
      </c>
      <c r="C267" s="51" t="s">
        <v>1956</v>
      </c>
      <c r="D267" s="52" t="s">
        <v>1375</v>
      </c>
      <c r="E267" s="52" t="s">
        <v>1957</v>
      </c>
      <c r="F267" s="52" t="s">
        <v>1958</v>
      </c>
      <c r="G267" s="52" t="s">
        <v>1959</v>
      </c>
      <c r="H267" s="53" t="s">
        <v>1960</v>
      </c>
      <c r="I267" s="52" t="s">
        <v>641</v>
      </c>
      <c r="J267" s="52" t="s">
        <v>1086</v>
      </c>
      <c r="K267" s="54" t="s">
        <v>614</v>
      </c>
      <c r="L267" s="52" t="s">
        <v>643</v>
      </c>
      <c r="M267" s="80"/>
      <c r="N267" s="46"/>
      <c r="O267" s="47"/>
      <c r="P267" s="57"/>
      <c r="Q267" s="63"/>
      <c r="R267" s="47"/>
      <c r="S267" s="92"/>
    </row>
    <row r="268" spans="1:20" ht="15" customHeight="1" x14ac:dyDescent="0.4">
      <c r="A268">
        <f t="shared" si="4"/>
        <v>267</v>
      </c>
      <c r="B268" s="40" t="s">
        <v>605</v>
      </c>
      <c r="C268" s="51" t="s">
        <v>1961</v>
      </c>
      <c r="D268" s="52" t="s">
        <v>1375</v>
      </c>
      <c r="E268" s="52" t="s">
        <v>1957</v>
      </c>
      <c r="F268" s="52" t="s">
        <v>1962</v>
      </c>
      <c r="G268" s="52" t="s">
        <v>1963</v>
      </c>
      <c r="H268" s="53" t="s">
        <v>1964</v>
      </c>
      <c r="I268" s="76" t="s">
        <v>720</v>
      </c>
      <c r="J268" s="76" t="s">
        <v>735</v>
      </c>
      <c r="K268" s="54" t="s">
        <v>614</v>
      </c>
      <c r="L268" s="76" t="s">
        <v>615</v>
      </c>
      <c r="M268" s="77"/>
      <c r="N268" s="118"/>
      <c r="O268" s="52"/>
      <c r="P268" s="57"/>
      <c r="Q268" s="63"/>
      <c r="R268" s="47"/>
      <c r="S268" s="50"/>
    </row>
    <row r="269" spans="1:20" ht="15" customHeight="1" x14ac:dyDescent="0.4">
      <c r="A269">
        <f t="shared" si="4"/>
        <v>268</v>
      </c>
      <c r="B269" s="40" t="s">
        <v>605</v>
      </c>
      <c r="C269" s="51" t="s">
        <v>1965</v>
      </c>
      <c r="D269" s="52" t="s">
        <v>1375</v>
      </c>
      <c r="E269" s="52" t="s">
        <v>1966</v>
      </c>
      <c r="F269" s="52" t="s">
        <v>1967</v>
      </c>
      <c r="G269" s="52" t="s">
        <v>1968</v>
      </c>
      <c r="H269" s="60" t="s">
        <v>1969</v>
      </c>
      <c r="I269" s="52" t="s">
        <v>630</v>
      </c>
      <c r="J269" s="52" t="s">
        <v>631</v>
      </c>
      <c r="K269" s="44" t="s">
        <v>614</v>
      </c>
      <c r="L269" s="52" t="s">
        <v>615</v>
      </c>
      <c r="M269" s="45"/>
      <c r="N269" s="46"/>
      <c r="O269" s="47"/>
      <c r="P269" s="57"/>
      <c r="Q269" s="63"/>
      <c r="R269" s="47"/>
      <c r="S269" s="50"/>
    </row>
    <row r="270" spans="1:20" ht="15" customHeight="1" x14ac:dyDescent="0.4">
      <c r="A270">
        <f t="shared" si="4"/>
        <v>269</v>
      </c>
      <c r="B270" s="40" t="s">
        <v>605</v>
      </c>
      <c r="C270" s="51" t="s">
        <v>1970</v>
      </c>
      <c r="D270" s="52" t="s">
        <v>1375</v>
      </c>
      <c r="E270" s="52" t="s">
        <v>1971</v>
      </c>
      <c r="F270" s="52" t="s">
        <v>1972</v>
      </c>
      <c r="G270" s="52" t="s">
        <v>1973</v>
      </c>
      <c r="H270" s="53" t="s">
        <v>1974</v>
      </c>
      <c r="I270" s="53" t="s">
        <v>703</v>
      </c>
      <c r="J270" s="52" t="s">
        <v>650</v>
      </c>
      <c r="K270" s="54" t="s">
        <v>614</v>
      </c>
      <c r="L270" s="52" t="s">
        <v>615</v>
      </c>
      <c r="M270" s="45"/>
      <c r="N270" s="46"/>
      <c r="O270" s="47"/>
      <c r="P270" s="57"/>
      <c r="Q270" s="63"/>
      <c r="R270" s="47"/>
      <c r="S270" s="50"/>
    </row>
    <row r="271" spans="1:20" ht="15" customHeight="1" x14ac:dyDescent="0.4">
      <c r="A271">
        <f t="shared" si="4"/>
        <v>270</v>
      </c>
      <c r="B271" s="40" t="s">
        <v>605</v>
      </c>
      <c r="C271" s="51" t="s">
        <v>1975</v>
      </c>
      <c r="D271" s="53" t="s">
        <v>1375</v>
      </c>
      <c r="E271" s="53" t="s">
        <v>1976</v>
      </c>
      <c r="F271" s="53" t="s">
        <v>1977</v>
      </c>
      <c r="G271" s="53" t="s">
        <v>1978</v>
      </c>
      <c r="H271" s="83" t="s">
        <v>1979</v>
      </c>
      <c r="I271" s="52" t="s">
        <v>612</v>
      </c>
      <c r="J271" s="52" t="s">
        <v>763</v>
      </c>
      <c r="K271" s="54" t="s">
        <v>614</v>
      </c>
      <c r="L271" s="97" t="s">
        <v>615</v>
      </c>
      <c r="M271" s="45"/>
      <c r="N271" s="46"/>
      <c r="O271" s="47"/>
      <c r="P271" s="57"/>
      <c r="Q271" s="58"/>
      <c r="R271" s="47"/>
      <c r="S271" s="81"/>
      <c r="T271" s="98"/>
    </row>
    <row r="272" spans="1:20" ht="15" customHeight="1" x14ac:dyDescent="0.4">
      <c r="A272">
        <f t="shared" si="4"/>
        <v>271</v>
      </c>
      <c r="B272" s="40" t="s">
        <v>605</v>
      </c>
      <c r="C272" s="51" t="s">
        <v>1980</v>
      </c>
      <c r="D272" s="53" t="s">
        <v>1375</v>
      </c>
      <c r="E272" s="53" t="s">
        <v>1104</v>
      </c>
      <c r="F272" s="53" t="s">
        <v>1981</v>
      </c>
      <c r="G272" s="53" t="s">
        <v>1982</v>
      </c>
      <c r="H272" s="83" t="s">
        <v>1983</v>
      </c>
      <c r="I272" s="52" t="s">
        <v>641</v>
      </c>
      <c r="J272" s="53" t="s">
        <v>735</v>
      </c>
      <c r="K272" s="44" t="s">
        <v>614</v>
      </c>
      <c r="L272" s="52" t="s">
        <v>643</v>
      </c>
      <c r="M272" s="45"/>
      <c r="N272" s="46"/>
      <c r="O272" s="47"/>
      <c r="P272" s="57"/>
      <c r="Q272" s="96"/>
      <c r="R272" s="47"/>
      <c r="S272" s="81"/>
      <c r="T272" s="98"/>
    </row>
    <row r="273" spans="1:20" ht="15" customHeight="1" x14ac:dyDescent="0.4">
      <c r="A273">
        <f t="shared" si="4"/>
        <v>272</v>
      </c>
      <c r="B273" s="40" t="s">
        <v>605</v>
      </c>
      <c r="C273" s="51" t="s">
        <v>1984</v>
      </c>
      <c r="D273" s="52" t="s">
        <v>1375</v>
      </c>
      <c r="E273" s="52" t="s">
        <v>952</v>
      </c>
      <c r="F273" s="52" t="s">
        <v>1985</v>
      </c>
      <c r="G273" s="52" t="s">
        <v>1986</v>
      </c>
      <c r="H273" s="59" t="s">
        <v>1987</v>
      </c>
      <c r="I273" s="53" t="s">
        <v>812</v>
      </c>
      <c r="J273" s="52" t="s">
        <v>704</v>
      </c>
      <c r="K273" s="54" t="s">
        <v>614</v>
      </c>
      <c r="L273" s="52" t="s">
        <v>615</v>
      </c>
      <c r="M273" s="45"/>
      <c r="N273" s="46"/>
      <c r="O273" s="47"/>
      <c r="P273" s="57"/>
      <c r="Q273" s="63"/>
      <c r="R273" s="47"/>
      <c r="S273" s="50"/>
    </row>
    <row r="274" spans="1:20" ht="15" customHeight="1" x14ac:dyDescent="0.4">
      <c r="A274">
        <f t="shared" si="4"/>
        <v>273</v>
      </c>
      <c r="B274" s="40" t="s">
        <v>605</v>
      </c>
      <c r="C274" s="51" t="s">
        <v>1988</v>
      </c>
      <c r="D274" s="52" t="s">
        <v>1375</v>
      </c>
      <c r="E274" s="52" t="s">
        <v>1989</v>
      </c>
      <c r="F274" s="52" t="s">
        <v>1990</v>
      </c>
      <c r="G274" s="52" t="s">
        <v>1991</v>
      </c>
      <c r="H274" s="61" t="s">
        <v>1992</v>
      </c>
      <c r="I274" s="52" t="s">
        <v>1468</v>
      </c>
      <c r="J274" s="52" t="s">
        <v>637</v>
      </c>
      <c r="K274" s="54" t="s">
        <v>614</v>
      </c>
      <c r="L274" s="52" t="s">
        <v>615</v>
      </c>
      <c r="M274" s="56"/>
      <c r="N274" s="46"/>
      <c r="O274" s="47"/>
      <c r="P274" s="57"/>
      <c r="Q274" s="63"/>
      <c r="R274" s="47"/>
      <c r="S274" s="50"/>
    </row>
    <row r="275" spans="1:20" ht="15" customHeight="1" x14ac:dyDescent="0.4">
      <c r="A275">
        <f t="shared" si="4"/>
        <v>274</v>
      </c>
      <c r="B275" s="40" t="s">
        <v>605</v>
      </c>
      <c r="C275" s="51" t="s">
        <v>1993</v>
      </c>
      <c r="D275" s="53" t="s">
        <v>1375</v>
      </c>
      <c r="E275" s="53" t="s">
        <v>1994</v>
      </c>
      <c r="F275" s="53" t="s">
        <v>1995</v>
      </c>
      <c r="G275" s="53" t="s">
        <v>1996</v>
      </c>
      <c r="H275" s="59" t="s">
        <v>1997</v>
      </c>
      <c r="I275" s="53" t="s">
        <v>683</v>
      </c>
      <c r="J275" s="53" t="s">
        <v>664</v>
      </c>
      <c r="K275" s="54" t="s">
        <v>614</v>
      </c>
      <c r="L275" s="52" t="s">
        <v>643</v>
      </c>
      <c r="M275" s="45"/>
      <c r="N275" s="46"/>
      <c r="O275" s="47"/>
      <c r="P275" s="57"/>
      <c r="Q275" s="63"/>
      <c r="R275" s="47"/>
      <c r="S275" s="50"/>
    </row>
    <row r="276" spans="1:20" ht="15" customHeight="1" x14ac:dyDescent="0.4">
      <c r="A276">
        <f t="shared" si="4"/>
        <v>275</v>
      </c>
      <c r="B276" s="40" t="s">
        <v>605</v>
      </c>
      <c r="C276" s="51" t="s">
        <v>1998</v>
      </c>
      <c r="D276" s="52" t="s">
        <v>1999</v>
      </c>
      <c r="E276" s="53" t="s">
        <v>2000</v>
      </c>
      <c r="F276" s="53" t="s">
        <v>2001</v>
      </c>
      <c r="G276" s="53" t="s">
        <v>2002</v>
      </c>
      <c r="H276" s="60" t="s">
        <v>2003</v>
      </c>
      <c r="I276" s="42" t="s">
        <v>703</v>
      </c>
      <c r="J276" s="42" t="s">
        <v>751</v>
      </c>
      <c r="K276" s="44" t="s">
        <v>614</v>
      </c>
      <c r="L276" s="52" t="s">
        <v>615</v>
      </c>
      <c r="M276" s="45"/>
      <c r="N276" s="46"/>
      <c r="O276" s="47"/>
      <c r="P276" s="57"/>
      <c r="Q276" s="63"/>
      <c r="R276" s="47"/>
      <c r="S276" s="50"/>
    </row>
    <row r="277" spans="1:20" ht="15" customHeight="1" x14ac:dyDescent="0.4">
      <c r="A277">
        <f t="shared" si="4"/>
        <v>276</v>
      </c>
      <c r="B277" s="40" t="s">
        <v>605</v>
      </c>
      <c r="C277" s="51" t="s">
        <v>2004</v>
      </c>
      <c r="D277" s="52" t="s">
        <v>1999</v>
      </c>
      <c r="E277" s="53" t="s">
        <v>2005</v>
      </c>
      <c r="F277" s="53" t="s">
        <v>2006</v>
      </c>
      <c r="G277" s="53" t="s">
        <v>2007</v>
      </c>
      <c r="H277" s="60" t="s">
        <v>2008</v>
      </c>
      <c r="I277" s="52" t="s">
        <v>913</v>
      </c>
      <c r="J277" s="53" t="s">
        <v>684</v>
      </c>
      <c r="K277" s="44" t="s">
        <v>614</v>
      </c>
      <c r="L277" s="52" t="s">
        <v>615</v>
      </c>
      <c r="M277" s="45"/>
      <c r="N277" s="46"/>
      <c r="O277" s="47"/>
      <c r="P277" s="57"/>
      <c r="Q277" s="63"/>
      <c r="R277" s="47"/>
      <c r="S277" s="50"/>
    </row>
    <row r="278" spans="1:20" ht="15" customHeight="1" x14ac:dyDescent="0.4">
      <c r="A278">
        <f t="shared" si="4"/>
        <v>277</v>
      </c>
      <c r="B278" s="40" t="s">
        <v>605</v>
      </c>
      <c r="C278" s="51" t="s">
        <v>2009</v>
      </c>
      <c r="D278" s="52" t="s">
        <v>1459</v>
      </c>
      <c r="E278" s="52" t="s">
        <v>1104</v>
      </c>
      <c r="F278" s="52" t="s">
        <v>754</v>
      </c>
      <c r="G278" s="52" t="s">
        <v>2010</v>
      </c>
      <c r="H278" s="83" t="s">
        <v>2011</v>
      </c>
      <c r="I278" s="52" t="s">
        <v>703</v>
      </c>
      <c r="J278" s="52" t="s">
        <v>751</v>
      </c>
      <c r="K278" s="44" t="s">
        <v>614</v>
      </c>
      <c r="L278" s="52" t="s">
        <v>615</v>
      </c>
      <c r="M278" s="45"/>
      <c r="N278" s="46"/>
      <c r="O278" s="47"/>
      <c r="P278" s="72"/>
      <c r="Q278" s="63"/>
      <c r="R278" s="47"/>
      <c r="S278" s="50"/>
    </row>
    <row r="279" spans="1:20" ht="15" customHeight="1" x14ac:dyDescent="0.4">
      <c r="A279">
        <f t="shared" si="4"/>
        <v>278</v>
      </c>
      <c r="B279" s="40" t="s">
        <v>605</v>
      </c>
      <c r="C279" s="51" t="s">
        <v>255</v>
      </c>
      <c r="D279" s="52" t="s">
        <v>2012</v>
      </c>
      <c r="E279" s="52" t="s">
        <v>1061</v>
      </c>
      <c r="F279" s="52" t="s">
        <v>2013</v>
      </c>
      <c r="G279" s="52" t="s">
        <v>2014</v>
      </c>
      <c r="H279" s="83" t="s">
        <v>2015</v>
      </c>
      <c r="I279" s="52" t="s">
        <v>1219</v>
      </c>
      <c r="J279" s="52" t="s">
        <v>778</v>
      </c>
      <c r="K279" s="44" t="s">
        <v>614</v>
      </c>
      <c r="L279" s="52" t="s">
        <v>615</v>
      </c>
      <c r="M279" s="45"/>
      <c r="N279" s="46"/>
      <c r="O279" s="47"/>
      <c r="P279" s="72"/>
      <c r="Q279" s="63"/>
      <c r="R279" s="47"/>
      <c r="S279" s="81"/>
    </row>
    <row r="280" spans="1:20" ht="15" customHeight="1" x14ac:dyDescent="0.4">
      <c r="A280">
        <f t="shared" si="4"/>
        <v>279</v>
      </c>
      <c r="B280" s="40" t="s">
        <v>605</v>
      </c>
      <c r="C280" s="51" t="s">
        <v>2016</v>
      </c>
      <c r="D280" s="52" t="s">
        <v>2017</v>
      </c>
      <c r="E280" s="52" t="s">
        <v>2018</v>
      </c>
      <c r="F280" s="52" t="s">
        <v>2019</v>
      </c>
      <c r="G280" s="52" t="s">
        <v>2020</v>
      </c>
      <c r="H280" s="53" t="s">
        <v>2021</v>
      </c>
      <c r="I280" s="52" t="s">
        <v>799</v>
      </c>
      <c r="J280" s="52" t="s">
        <v>613</v>
      </c>
      <c r="K280" s="44" t="s">
        <v>614</v>
      </c>
      <c r="L280" s="52" t="s">
        <v>615</v>
      </c>
      <c r="M280" s="45"/>
      <c r="N280" s="46"/>
      <c r="O280" s="47"/>
      <c r="P280" s="57"/>
      <c r="Q280" s="63"/>
      <c r="R280" s="47"/>
      <c r="S280" s="50"/>
    </row>
    <row r="281" spans="1:20" ht="15" customHeight="1" x14ac:dyDescent="0.4">
      <c r="A281">
        <f t="shared" si="4"/>
        <v>280</v>
      </c>
      <c r="B281" s="40" t="s">
        <v>605</v>
      </c>
      <c r="C281" s="51" t="s">
        <v>2022</v>
      </c>
      <c r="D281" s="52" t="s">
        <v>2023</v>
      </c>
      <c r="E281" s="52" t="s">
        <v>795</v>
      </c>
      <c r="F281" s="52" t="s">
        <v>2024</v>
      </c>
      <c r="G281" s="52" t="s">
        <v>2025</v>
      </c>
      <c r="H281" s="53" t="s">
        <v>2026</v>
      </c>
      <c r="I281" s="52" t="s">
        <v>861</v>
      </c>
      <c r="J281" s="52" t="s">
        <v>704</v>
      </c>
      <c r="K281" s="54" t="s">
        <v>614</v>
      </c>
      <c r="L281" s="52" t="s">
        <v>615</v>
      </c>
      <c r="M281" s="45"/>
      <c r="N281" s="46"/>
      <c r="O281" s="47"/>
      <c r="P281" s="57"/>
      <c r="Q281" s="63"/>
      <c r="R281" s="47"/>
      <c r="S281" s="50"/>
    </row>
    <row r="282" spans="1:20" ht="15" customHeight="1" x14ac:dyDescent="0.4">
      <c r="A282">
        <f t="shared" si="4"/>
        <v>281</v>
      </c>
      <c r="B282" s="40" t="s">
        <v>605</v>
      </c>
      <c r="C282" s="41" t="s">
        <v>2027</v>
      </c>
      <c r="D282" s="42" t="s">
        <v>2028</v>
      </c>
      <c r="E282" s="42" t="s">
        <v>2028</v>
      </c>
      <c r="F282" s="42" t="s">
        <v>2029</v>
      </c>
      <c r="G282" s="42" t="s">
        <v>2030</v>
      </c>
      <c r="H282" s="44" t="s">
        <v>2031</v>
      </c>
      <c r="I282" s="42" t="s">
        <v>612</v>
      </c>
      <c r="J282" s="42" t="s">
        <v>704</v>
      </c>
      <c r="K282" s="54" t="s">
        <v>614</v>
      </c>
      <c r="L282" s="42" t="s">
        <v>615</v>
      </c>
      <c r="M282" s="45"/>
      <c r="N282" s="46"/>
      <c r="O282" s="47"/>
      <c r="P282" s="57"/>
      <c r="Q282" s="63"/>
      <c r="R282" s="47"/>
      <c r="S282" s="50"/>
    </row>
    <row r="283" spans="1:20" ht="15" customHeight="1" x14ac:dyDescent="0.4">
      <c r="A283">
        <f t="shared" si="4"/>
        <v>282</v>
      </c>
      <c r="B283" s="40" t="s">
        <v>605</v>
      </c>
      <c r="C283" s="41" t="s">
        <v>425</v>
      </c>
      <c r="D283" s="42" t="s">
        <v>2032</v>
      </c>
      <c r="E283" s="42" t="s">
        <v>1520</v>
      </c>
      <c r="F283" s="42" t="s">
        <v>1208</v>
      </c>
      <c r="G283" s="42" t="s">
        <v>2033</v>
      </c>
      <c r="H283" s="107" t="s">
        <v>183</v>
      </c>
      <c r="I283" s="42" t="s">
        <v>2034</v>
      </c>
      <c r="J283" s="42" t="s">
        <v>778</v>
      </c>
      <c r="K283" s="44" t="s">
        <v>614</v>
      </c>
      <c r="L283" s="42" t="s">
        <v>643</v>
      </c>
      <c r="M283" s="45"/>
      <c r="N283" s="46"/>
      <c r="O283" s="47"/>
      <c r="P283" s="57"/>
      <c r="Q283" s="63"/>
      <c r="R283" s="47"/>
      <c r="S283" s="50"/>
    </row>
    <row r="284" spans="1:20" ht="15" customHeight="1" x14ac:dyDescent="0.4">
      <c r="A284">
        <f t="shared" si="4"/>
        <v>283</v>
      </c>
      <c r="B284" s="40" t="s">
        <v>605</v>
      </c>
      <c r="C284" s="51" t="s">
        <v>2035</v>
      </c>
      <c r="D284" s="52" t="s">
        <v>1454</v>
      </c>
      <c r="E284" s="52" t="s">
        <v>1924</v>
      </c>
      <c r="F284" s="52" t="s">
        <v>2036</v>
      </c>
      <c r="G284" s="52" t="s">
        <v>2037</v>
      </c>
      <c r="H284" s="127" t="s">
        <v>2038</v>
      </c>
      <c r="I284" s="52" t="s">
        <v>683</v>
      </c>
      <c r="J284" s="52" t="s">
        <v>751</v>
      </c>
      <c r="K284" s="54" t="s">
        <v>614</v>
      </c>
      <c r="L284" s="52" t="s">
        <v>615</v>
      </c>
      <c r="M284" s="56"/>
      <c r="N284" s="46"/>
      <c r="O284" s="47"/>
      <c r="P284" s="57"/>
      <c r="Q284" s="63"/>
      <c r="R284" s="47"/>
      <c r="S284" s="50"/>
    </row>
    <row r="285" spans="1:20" ht="15" customHeight="1" x14ac:dyDescent="0.4">
      <c r="A285">
        <f t="shared" si="4"/>
        <v>284</v>
      </c>
      <c r="B285" s="40" t="s">
        <v>605</v>
      </c>
      <c r="C285" s="51" t="s">
        <v>2039</v>
      </c>
      <c r="D285" s="52" t="s">
        <v>1454</v>
      </c>
      <c r="E285" s="52" t="s">
        <v>2040</v>
      </c>
      <c r="F285" s="52" t="s">
        <v>2041</v>
      </c>
      <c r="G285" s="52" t="s">
        <v>2042</v>
      </c>
      <c r="H285" s="60" t="s">
        <v>2043</v>
      </c>
      <c r="I285" s="52" t="s">
        <v>727</v>
      </c>
      <c r="J285" s="52" t="s">
        <v>825</v>
      </c>
      <c r="K285" s="54" t="s">
        <v>614</v>
      </c>
      <c r="L285" s="52" t="s">
        <v>643</v>
      </c>
      <c r="M285" s="80"/>
      <c r="N285" s="46"/>
      <c r="O285" s="47"/>
      <c r="P285" s="57"/>
      <c r="Q285" s="63"/>
      <c r="R285" s="47"/>
      <c r="S285" s="50"/>
      <c r="T285" s="98"/>
    </row>
    <row r="286" spans="1:20" ht="15" customHeight="1" x14ac:dyDescent="0.4">
      <c r="A286">
        <f t="shared" si="4"/>
        <v>285</v>
      </c>
      <c r="B286" s="40" t="s">
        <v>605</v>
      </c>
      <c r="C286" s="51" t="s">
        <v>2044</v>
      </c>
      <c r="D286" s="52" t="s">
        <v>1454</v>
      </c>
      <c r="E286" s="52" t="s">
        <v>2045</v>
      </c>
      <c r="F286" s="52" t="s">
        <v>2046</v>
      </c>
      <c r="G286" s="52" t="s">
        <v>2047</v>
      </c>
      <c r="H286" s="53" t="s">
        <v>2048</v>
      </c>
      <c r="I286" s="52" t="s">
        <v>720</v>
      </c>
      <c r="J286" s="52" t="s">
        <v>836</v>
      </c>
      <c r="K286" s="44" t="s">
        <v>614</v>
      </c>
      <c r="L286" s="52" t="s">
        <v>615</v>
      </c>
      <c r="M286" s="70"/>
      <c r="N286" s="46"/>
      <c r="O286" s="47"/>
      <c r="P286" s="57"/>
      <c r="Q286" s="63"/>
      <c r="R286" s="47"/>
      <c r="S286" s="50"/>
    </row>
    <row r="287" spans="1:20" ht="15" customHeight="1" x14ac:dyDescent="0.4">
      <c r="A287">
        <f t="shared" si="4"/>
        <v>286</v>
      </c>
      <c r="B287" s="40" t="s">
        <v>605</v>
      </c>
      <c r="C287" s="41" t="s">
        <v>2049</v>
      </c>
      <c r="D287" s="42" t="s">
        <v>1454</v>
      </c>
      <c r="E287" s="42" t="s">
        <v>1104</v>
      </c>
      <c r="F287" s="42" t="s">
        <v>2050</v>
      </c>
      <c r="G287" s="42" t="s">
        <v>2051</v>
      </c>
      <c r="H287" s="43" t="s">
        <v>2052</v>
      </c>
      <c r="I287" s="42" t="s">
        <v>622</v>
      </c>
      <c r="J287" s="42" t="s">
        <v>697</v>
      </c>
      <c r="K287" s="54" t="s">
        <v>614</v>
      </c>
      <c r="L287" s="42" t="s">
        <v>615</v>
      </c>
      <c r="M287" s="45"/>
      <c r="N287" s="126"/>
      <c r="O287" s="47"/>
      <c r="P287" s="57"/>
      <c r="Q287" s="63"/>
      <c r="R287" s="47"/>
      <c r="S287" s="137"/>
      <c r="T287" s="33"/>
    </row>
    <row r="288" spans="1:20" ht="15" customHeight="1" x14ac:dyDescent="0.4">
      <c r="A288">
        <f t="shared" si="4"/>
        <v>287</v>
      </c>
      <c r="B288" s="40" t="s">
        <v>605</v>
      </c>
      <c r="C288" s="51" t="s">
        <v>2053</v>
      </c>
      <c r="D288" s="53" t="s">
        <v>1454</v>
      </c>
      <c r="E288" s="53" t="s">
        <v>2054</v>
      </c>
      <c r="F288" s="53" t="s">
        <v>2055</v>
      </c>
      <c r="G288" s="53" t="s">
        <v>2056</v>
      </c>
      <c r="H288" s="59" t="s">
        <v>2057</v>
      </c>
      <c r="I288" s="53" t="s">
        <v>720</v>
      </c>
      <c r="J288" s="53" t="s">
        <v>676</v>
      </c>
      <c r="K288" s="54" t="s">
        <v>614</v>
      </c>
      <c r="L288" s="52" t="s">
        <v>615</v>
      </c>
      <c r="M288" s="45"/>
      <c r="N288" s="46"/>
      <c r="O288" s="47"/>
      <c r="P288" s="57"/>
      <c r="Q288" s="63"/>
      <c r="R288" s="47"/>
      <c r="S288" s="50"/>
    </row>
    <row r="289" spans="1:19" ht="15" customHeight="1" x14ac:dyDescent="0.4">
      <c r="A289">
        <f t="shared" si="4"/>
        <v>288</v>
      </c>
      <c r="B289" s="40" t="s">
        <v>605</v>
      </c>
      <c r="C289" s="51" t="s">
        <v>2058</v>
      </c>
      <c r="D289" s="52" t="s">
        <v>1454</v>
      </c>
      <c r="E289" s="52" t="s">
        <v>2054</v>
      </c>
      <c r="F289" s="52" t="s">
        <v>2059</v>
      </c>
      <c r="G289" s="52" t="s">
        <v>2060</v>
      </c>
      <c r="H289" s="83" t="s">
        <v>2061</v>
      </c>
      <c r="I289" s="52" t="s">
        <v>622</v>
      </c>
      <c r="J289" s="52" t="s">
        <v>623</v>
      </c>
      <c r="K289" s="54" t="s">
        <v>614</v>
      </c>
      <c r="L289" s="52" t="s">
        <v>615</v>
      </c>
      <c r="M289" s="45"/>
      <c r="N289" s="46"/>
      <c r="O289" s="47"/>
      <c r="P289" s="57"/>
      <c r="Q289" s="63"/>
      <c r="R289" s="47"/>
      <c r="S289" s="50"/>
    </row>
    <row r="290" spans="1:19" ht="15" customHeight="1" x14ac:dyDescent="0.4">
      <c r="A290">
        <f t="shared" si="4"/>
        <v>289</v>
      </c>
      <c r="B290" s="40" t="s">
        <v>605</v>
      </c>
      <c r="C290" s="51" t="s">
        <v>2062</v>
      </c>
      <c r="D290" s="52" t="s">
        <v>1454</v>
      </c>
      <c r="E290" s="52" t="s">
        <v>2063</v>
      </c>
      <c r="F290" s="52" t="s">
        <v>2064</v>
      </c>
      <c r="G290" s="52" t="s">
        <v>2065</v>
      </c>
      <c r="H290" s="53" t="s">
        <v>2066</v>
      </c>
      <c r="I290" s="53" t="s">
        <v>720</v>
      </c>
      <c r="J290" s="53" t="s">
        <v>642</v>
      </c>
      <c r="K290" s="54" t="s">
        <v>614</v>
      </c>
      <c r="L290" s="52" t="s">
        <v>615</v>
      </c>
      <c r="M290" s="80"/>
      <c r="N290" s="46"/>
      <c r="O290" s="47"/>
      <c r="P290" s="57"/>
      <c r="Q290" s="63"/>
      <c r="R290" s="47"/>
      <c r="S290" s="50"/>
    </row>
    <row r="291" spans="1:19" ht="15" customHeight="1" x14ac:dyDescent="0.4">
      <c r="A291">
        <f t="shared" si="4"/>
        <v>290</v>
      </c>
      <c r="B291" s="40" t="s">
        <v>605</v>
      </c>
      <c r="C291" s="41" t="s">
        <v>2067</v>
      </c>
      <c r="D291" s="42" t="s">
        <v>1454</v>
      </c>
      <c r="E291" s="42" t="s">
        <v>1291</v>
      </c>
      <c r="F291" s="42" t="s">
        <v>2068</v>
      </c>
      <c r="G291" s="42" t="s">
        <v>2069</v>
      </c>
      <c r="H291" s="82" t="s">
        <v>2070</v>
      </c>
      <c r="I291" s="42" t="s">
        <v>683</v>
      </c>
      <c r="J291" s="42" t="s">
        <v>669</v>
      </c>
      <c r="K291" s="54" t="s">
        <v>614</v>
      </c>
      <c r="L291" s="42" t="s">
        <v>615</v>
      </c>
      <c r="M291" s="45"/>
      <c r="N291" s="46"/>
      <c r="O291" s="47"/>
      <c r="P291" s="57"/>
      <c r="Q291" s="63"/>
      <c r="R291" s="47"/>
      <c r="S291" s="81"/>
    </row>
    <row r="292" spans="1:19" ht="15" customHeight="1" x14ac:dyDescent="0.4">
      <c r="A292">
        <f t="shared" si="4"/>
        <v>291</v>
      </c>
      <c r="B292" s="40" t="s">
        <v>605</v>
      </c>
      <c r="C292" s="41" t="s">
        <v>2071</v>
      </c>
      <c r="D292" s="44" t="s">
        <v>1454</v>
      </c>
      <c r="E292" s="44" t="s">
        <v>1454</v>
      </c>
      <c r="F292" s="42" t="s">
        <v>2072</v>
      </c>
      <c r="G292" s="42" t="s">
        <v>2073</v>
      </c>
      <c r="H292" s="107" t="s">
        <v>2074</v>
      </c>
      <c r="I292" s="52" t="s">
        <v>861</v>
      </c>
      <c r="J292" s="52" t="s">
        <v>697</v>
      </c>
      <c r="K292" s="54" t="s">
        <v>614</v>
      </c>
      <c r="L292" s="52" t="s">
        <v>615</v>
      </c>
      <c r="M292" s="139"/>
      <c r="N292" s="46"/>
      <c r="O292" s="47"/>
      <c r="P292" s="57"/>
      <c r="Q292" s="63"/>
      <c r="R292" s="47"/>
      <c r="S292" s="81"/>
    </row>
    <row r="293" spans="1:19" ht="15" customHeight="1" x14ac:dyDescent="0.4">
      <c r="A293">
        <f t="shared" si="4"/>
        <v>292</v>
      </c>
      <c r="B293" s="40" t="s">
        <v>605</v>
      </c>
      <c r="C293" s="41" t="s">
        <v>2075</v>
      </c>
      <c r="D293" s="44" t="s">
        <v>1454</v>
      </c>
      <c r="E293" s="44" t="s">
        <v>1454</v>
      </c>
      <c r="F293" s="44" t="s">
        <v>2076</v>
      </c>
      <c r="G293" s="44" t="s">
        <v>2077</v>
      </c>
      <c r="H293" s="43" t="s">
        <v>2078</v>
      </c>
      <c r="I293" s="44" t="s">
        <v>799</v>
      </c>
      <c r="J293" s="42" t="s">
        <v>1237</v>
      </c>
      <c r="K293" s="54" t="s">
        <v>614</v>
      </c>
      <c r="L293" s="44" t="s">
        <v>643</v>
      </c>
      <c r="M293" s="108"/>
      <c r="N293" s="40"/>
      <c r="O293" s="47"/>
      <c r="P293" s="57"/>
      <c r="Q293" s="63"/>
      <c r="R293" s="47"/>
      <c r="S293" s="50"/>
    </row>
    <row r="294" spans="1:19" ht="15" customHeight="1" x14ac:dyDescent="0.4">
      <c r="A294">
        <f t="shared" si="4"/>
        <v>293</v>
      </c>
      <c r="B294" s="40" t="s">
        <v>605</v>
      </c>
      <c r="C294" s="51" t="s">
        <v>2079</v>
      </c>
      <c r="D294" s="52" t="s">
        <v>1454</v>
      </c>
      <c r="E294" s="52" t="s">
        <v>652</v>
      </c>
      <c r="F294" s="52" t="s">
        <v>2080</v>
      </c>
      <c r="G294" s="52" t="s">
        <v>2081</v>
      </c>
      <c r="H294" s="60" t="s">
        <v>2082</v>
      </c>
      <c r="I294" s="52" t="s">
        <v>1123</v>
      </c>
      <c r="J294" s="52" t="s">
        <v>721</v>
      </c>
      <c r="K294" s="54" t="s">
        <v>614</v>
      </c>
      <c r="L294" s="52" t="s">
        <v>643</v>
      </c>
      <c r="M294" s="80"/>
      <c r="N294" s="46"/>
      <c r="O294" s="47"/>
      <c r="P294" s="57"/>
      <c r="Q294" s="63"/>
      <c r="R294" s="47"/>
      <c r="S294" s="50"/>
    </row>
    <row r="295" spans="1:19" ht="15" customHeight="1" x14ac:dyDescent="0.4">
      <c r="A295">
        <f t="shared" si="4"/>
        <v>294</v>
      </c>
      <c r="B295" s="40" t="s">
        <v>605</v>
      </c>
      <c r="C295" s="51" t="s">
        <v>2083</v>
      </c>
      <c r="D295" s="52" t="s">
        <v>2084</v>
      </c>
      <c r="E295" s="52" t="s">
        <v>2085</v>
      </c>
      <c r="F295" s="52" t="s">
        <v>2086</v>
      </c>
      <c r="G295" s="52" t="s">
        <v>2087</v>
      </c>
      <c r="H295" s="60" t="s">
        <v>2088</v>
      </c>
      <c r="I295" s="52" t="s">
        <v>649</v>
      </c>
      <c r="J295" s="52" t="s">
        <v>697</v>
      </c>
      <c r="K295" s="54" t="s">
        <v>614</v>
      </c>
      <c r="L295" s="52" t="s">
        <v>615</v>
      </c>
      <c r="M295" s="45"/>
      <c r="N295" s="46"/>
      <c r="O295" s="47"/>
      <c r="P295" s="57"/>
      <c r="Q295" s="63"/>
      <c r="R295" s="47"/>
      <c r="S295" s="50"/>
    </row>
    <row r="296" spans="1:19" ht="15" customHeight="1" x14ac:dyDescent="0.4">
      <c r="A296">
        <f t="shared" si="4"/>
        <v>295</v>
      </c>
      <c r="B296" s="40" t="s">
        <v>605</v>
      </c>
      <c r="C296" s="51" t="s">
        <v>2089</v>
      </c>
      <c r="D296" s="52" t="s">
        <v>2090</v>
      </c>
      <c r="E296" s="52" t="s">
        <v>995</v>
      </c>
      <c r="F296" s="52" t="s">
        <v>2091</v>
      </c>
      <c r="G296" s="52" t="s">
        <v>2092</v>
      </c>
      <c r="H296" s="53" t="s">
        <v>2093</v>
      </c>
      <c r="I296" s="53" t="s">
        <v>720</v>
      </c>
      <c r="J296" s="52" t="s">
        <v>1237</v>
      </c>
      <c r="K296" s="54" t="s">
        <v>614</v>
      </c>
      <c r="L296" s="52" t="s">
        <v>615</v>
      </c>
      <c r="M296" s="45"/>
      <c r="N296" s="46"/>
      <c r="O296" s="47"/>
      <c r="P296" s="57"/>
      <c r="Q296" s="63"/>
      <c r="R296" s="47"/>
      <c r="S296" s="50"/>
    </row>
    <row r="297" spans="1:19" ht="15" customHeight="1" x14ac:dyDescent="0.4">
      <c r="A297">
        <f t="shared" si="4"/>
        <v>296</v>
      </c>
      <c r="B297" s="40" t="s">
        <v>605</v>
      </c>
      <c r="C297" s="51" t="s">
        <v>2094</v>
      </c>
      <c r="D297" s="52" t="s">
        <v>1017</v>
      </c>
      <c r="E297" s="52" t="s">
        <v>2095</v>
      </c>
      <c r="F297" s="52" t="s">
        <v>2096</v>
      </c>
      <c r="G297" s="52" t="s">
        <v>2097</v>
      </c>
      <c r="H297" s="53" t="s">
        <v>2098</v>
      </c>
      <c r="I297" s="116" t="s">
        <v>774</v>
      </c>
      <c r="J297" s="116" t="s">
        <v>657</v>
      </c>
      <c r="K297" s="54" t="s">
        <v>614</v>
      </c>
      <c r="L297" s="76" t="s">
        <v>643</v>
      </c>
      <c r="M297" s="77"/>
      <c r="N297" s="46"/>
      <c r="O297" s="47"/>
      <c r="P297" s="57"/>
      <c r="Q297" s="63"/>
      <c r="R297" s="47"/>
      <c r="S297" s="50"/>
    </row>
    <row r="298" spans="1:19" ht="15" customHeight="1" x14ac:dyDescent="0.4">
      <c r="A298">
        <f t="shared" si="4"/>
        <v>297</v>
      </c>
      <c r="B298" s="40" t="s">
        <v>605</v>
      </c>
      <c r="C298" s="51" t="s">
        <v>429</v>
      </c>
      <c r="D298" s="52" t="s">
        <v>1017</v>
      </c>
      <c r="E298" s="52" t="s">
        <v>2099</v>
      </c>
      <c r="F298" s="52" t="s">
        <v>2100</v>
      </c>
      <c r="G298" s="52" t="s">
        <v>2101</v>
      </c>
      <c r="H298" s="53" t="s">
        <v>121</v>
      </c>
      <c r="I298" s="52" t="s">
        <v>2102</v>
      </c>
      <c r="J298" s="52" t="s">
        <v>778</v>
      </c>
      <c r="K298" s="54" t="s">
        <v>614</v>
      </c>
      <c r="L298" s="52" t="s">
        <v>643</v>
      </c>
      <c r="M298" s="80"/>
      <c r="N298" s="46"/>
      <c r="O298" s="47"/>
      <c r="P298" s="57"/>
      <c r="Q298" s="63"/>
      <c r="R298" s="47"/>
      <c r="S298" s="50"/>
    </row>
    <row r="299" spans="1:19" ht="15" customHeight="1" x14ac:dyDescent="0.4">
      <c r="A299">
        <f t="shared" si="4"/>
        <v>298</v>
      </c>
      <c r="B299" s="40" t="s">
        <v>605</v>
      </c>
      <c r="C299" s="51" t="s">
        <v>2103</v>
      </c>
      <c r="D299" s="52" t="s">
        <v>2104</v>
      </c>
      <c r="E299" s="52" t="s">
        <v>2105</v>
      </c>
      <c r="F299" s="52" t="s">
        <v>2106</v>
      </c>
      <c r="G299" s="52" t="s">
        <v>2107</v>
      </c>
      <c r="H299" s="140" t="s">
        <v>2108</v>
      </c>
      <c r="I299" s="52" t="s">
        <v>925</v>
      </c>
      <c r="J299" s="53" t="s">
        <v>613</v>
      </c>
      <c r="K299" s="54" t="s">
        <v>614</v>
      </c>
      <c r="L299" s="52" t="s">
        <v>615</v>
      </c>
      <c r="M299" s="45"/>
      <c r="N299" s="46"/>
      <c r="O299" s="47"/>
      <c r="P299" s="57"/>
      <c r="Q299" s="63"/>
      <c r="R299" s="47"/>
      <c r="S299" s="50"/>
    </row>
    <row r="300" spans="1:19" ht="15" customHeight="1" x14ac:dyDescent="0.4">
      <c r="A300">
        <f t="shared" si="4"/>
        <v>299</v>
      </c>
      <c r="B300" s="40" t="s">
        <v>605</v>
      </c>
      <c r="C300" s="51" t="s">
        <v>2109</v>
      </c>
      <c r="D300" s="52" t="s">
        <v>1947</v>
      </c>
      <c r="E300" s="52" t="s">
        <v>2110</v>
      </c>
      <c r="F300" s="52" t="s">
        <v>2111</v>
      </c>
      <c r="G300" s="52" t="s">
        <v>2112</v>
      </c>
      <c r="H300" s="53" t="s">
        <v>2113</v>
      </c>
      <c r="I300" s="52" t="s">
        <v>630</v>
      </c>
      <c r="J300" s="52" t="s">
        <v>631</v>
      </c>
      <c r="K300" s="54" t="s">
        <v>614</v>
      </c>
      <c r="L300" s="52" t="s">
        <v>615</v>
      </c>
      <c r="M300" s="45"/>
      <c r="N300" s="46"/>
      <c r="O300" s="47"/>
      <c r="P300" s="57"/>
      <c r="Q300" s="63"/>
      <c r="R300" s="47"/>
      <c r="S300" s="50"/>
    </row>
    <row r="301" spans="1:19" ht="15" customHeight="1" x14ac:dyDescent="0.4">
      <c r="A301">
        <f t="shared" si="4"/>
        <v>300</v>
      </c>
      <c r="B301" s="40" t="s">
        <v>605</v>
      </c>
      <c r="C301" s="51" t="s">
        <v>2114</v>
      </c>
      <c r="D301" s="52" t="s">
        <v>1947</v>
      </c>
      <c r="E301" s="52" t="s">
        <v>2115</v>
      </c>
      <c r="F301" s="52" t="s">
        <v>2116</v>
      </c>
      <c r="G301" s="52" t="s">
        <v>2117</v>
      </c>
      <c r="H301" s="60" t="s">
        <v>2118</v>
      </c>
      <c r="I301" s="52" t="s">
        <v>720</v>
      </c>
      <c r="J301" s="52" t="s">
        <v>1237</v>
      </c>
      <c r="K301" s="54" t="s">
        <v>614</v>
      </c>
      <c r="L301" s="52" t="s">
        <v>615</v>
      </c>
      <c r="M301" s="80"/>
      <c r="N301" s="46"/>
      <c r="O301" s="47"/>
      <c r="P301" s="57"/>
      <c r="Q301" s="58"/>
      <c r="R301" s="47"/>
      <c r="S301" s="81"/>
    </row>
    <row r="302" spans="1:19" ht="15" customHeight="1" x14ac:dyDescent="0.4">
      <c r="A302">
        <f t="shared" si="4"/>
        <v>301</v>
      </c>
      <c r="B302" s="40" t="s">
        <v>605</v>
      </c>
      <c r="C302" s="51" t="s">
        <v>2119</v>
      </c>
      <c r="D302" s="52" t="s">
        <v>1900</v>
      </c>
      <c r="E302" s="52" t="s">
        <v>1104</v>
      </c>
      <c r="F302" s="52" t="s">
        <v>2120</v>
      </c>
      <c r="G302" s="52" t="s">
        <v>2121</v>
      </c>
      <c r="H302" s="53" t="s">
        <v>2122</v>
      </c>
      <c r="I302" s="52" t="s">
        <v>649</v>
      </c>
      <c r="J302" s="52" t="s">
        <v>623</v>
      </c>
      <c r="K302" s="54" t="s">
        <v>614</v>
      </c>
      <c r="L302" s="52" t="s">
        <v>615</v>
      </c>
      <c r="M302" s="45"/>
      <c r="N302" s="46"/>
      <c r="O302" s="47"/>
      <c r="P302" s="57"/>
      <c r="Q302" s="63"/>
      <c r="R302" s="47"/>
      <c r="S302" s="50"/>
    </row>
    <row r="303" spans="1:19" ht="15" customHeight="1" x14ac:dyDescent="0.4">
      <c r="A303">
        <f t="shared" si="4"/>
        <v>302</v>
      </c>
      <c r="B303" s="40" t="s">
        <v>605</v>
      </c>
      <c r="C303" s="41" t="s">
        <v>2123</v>
      </c>
      <c r="D303" s="52" t="s">
        <v>2124</v>
      </c>
      <c r="E303" s="42" t="s">
        <v>2125</v>
      </c>
      <c r="F303" s="42" t="s">
        <v>2126</v>
      </c>
      <c r="G303" s="42" t="s">
        <v>2127</v>
      </c>
      <c r="H303" s="59" t="s">
        <v>2128</v>
      </c>
      <c r="I303" s="42" t="s">
        <v>799</v>
      </c>
      <c r="J303" s="42" t="s">
        <v>613</v>
      </c>
      <c r="K303" s="54" t="s">
        <v>614</v>
      </c>
      <c r="L303" s="52" t="s">
        <v>615</v>
      </c>
      <c r="M303" s="45"/>
      <c r="N303" s="46"/>
      <c r="O303" s="47"/>
      <c r="P303" s="57"/>
      <c r="Q303" s="63"/>
      <c r="R303" s="47"/>
      <c r="S303" s="50"/>
    </row>
    <row r="304" spans="1:19" ht="15" customHeight="1" x14ac:dyDescent="0.4">
      <c r="A304">
        <f t="shared" si="4"/>
        <v>303</v>
      </c>
      <c r="B304" s="40" t="s">
        <v>605</v>
      </c>
      <c r="C304" s="51" t="s">
        <v>2129</v>
      </c>
      <c r="D304" s="52" t="s">
        <v>1082</v>
      </c>
      <c r="E304" s="52" t="s">
        <v>1104</v>
      </c>
      <c r="F304" s="52" t="s">
        <v>2130</v>
      </c>
      <c r="G304" s="52" t="s">
        <v>2131</v>
      </c>
      <c r="H304" s="43" t="s">
        <v>2132</v>
      </c>
      <c r="I304" s="53" t="s">
        <v>1032</v>
      </c>
      <c r="J304" s="52" t="s">
        <v>1086</v>
      </c>
      <c r="K304" s="44" t="s">
        <v>614</v>
      </c>
      <c r="L304" s="52" t="s">
        <v>615</v>
      </c>
      <c r="M304" s="45"/>
      <c r="N304" s="46"/>
      <c r="O304" s="47"/>
      <c r="P304" s="57"/>
      <c r="Q304" s="63"/>
      <c r="R304" s="47"/>
      <c r="S304" s="50"/>
    </row>
    <row r="305" spans="1:20" ht="15" customHeight="1" x14ac:dyDescent="0.4">
      <c r="A305">
        <f t="shared" si="4"/>
        <v>304</v>
      </c>
      <c r="B305" s="40" t="s">
        <v>605</v>
      </c>
      <c r="C305" s="51" t="s">
        <v>2133</v>
      </c>
      <c r="D305" s="52" t="s">
        <v>1109</v>
      </c>
      <c r="E305" s="53" t="s">
        <v>652</v>
      </c>
      <c r="F305" s="53" t="s">
        <v>2134</v>
      </c>
      <c r="G305" s="53" t="s">
        <v>2135</v>
      </c>
      <c r="H305" s="53" t="s">
        <v>2136</v>
      </c>
      <c r="I305" s="52" t="s">
        <v>861</v>
      </c>
      <c r="J305" s="52" t="s">
        <v>623</v>
      </c>
      <c r="K305" s="54" t="s">
        <v>614</v>
      </c>
      <c r="L305" s="52" t="s">
        <v>615</v>
      </c>
      <c r="M305" s="45"/>
      <c r="N305" s="46"/>
      <c r="O305" s="47"/>
      <c r="P305" s="57"/>
      <c r="Q305" s="63"/>
      <c r="R305" s="47"/>
      <c r="S305" s="50"/>
    </row>
    <row r="306" spans="1:20" ht="15" customHeight="1" x14ac:dyDescent="0.4">
      <c r="A306">
        <f t="shared" si="4"/>
        <v>305</v>
      </c>
      <c r="B306" s="40" t="s">
        <v>605</v>
      </c>
      <c r="C306" s="51" t="s">
        <v>2137</v>
      </c>
      <c r="D306" s="52" t="s">
        <v>1109</v>
      </c>
      <c r="E306" s="52" t="s">
        <v>1929</v>
      </c>
      <c r="F306" s="52" t="s">
        <v>2138</v>
      </c>
      <c r="G306" s="52" t="s">
        <v>2139</v>
      </c>
      <c r="H306" s="60" t="s">
        <v>2140</v>
      </c>
      <c r="I306" s="116" t="s">
        <v>1026</v>
      </c>
      <c r="J306" s="116" t="s">
        <v>684</v>
      </c>
      <c r="K306" s="54" t="s">
        <v>614</v>
      </c>
      <c r="L306" s="76" t="s">
        <v>615</v>
      </c>
      <c r="M306" s="45"/>
      <c r="N306" s="46"/>
      <c r="O306" s="47"/>
      <c r="P306" s="57"/>
      <c r="Q306" s="63"/>
      <c r="R306" s="47"/>
      <c r="S306" s="50"/>
    </row>
    <row r="307" spans="1:20" ht="15" customHeight="1" x14ac:dyDescent="0.4">
      <c r="A307">
        <f t="shared" si="4"/>
        <v>306</v>
      </c>
      <c r="B307" s="40" t="s">
        <v>605</v>
      </c>
      <c r="C307" s="51" t="s">
        <v>2141</v>
      </c>
      <c r="D307" s="52" t="s">
        <v>1109</v>
      </c>
      <c r="E307" s="52" t="s">
        <v>2142</v>
      </c>
      <c r="F307" s="52" t="s">
        <v>2143</v>
      </c>
      <c r="G307" s="52" t="s">
        <v>2144</v>
      </c>
      <c r="H307" s="53" t="s">
        <v>2145</v>
      </c>
      <c r="I307" s="52" t="s">
        <v>630</v>
      </c>
      <c r="J307" s="52" t="s">
        <v>650</v>
      </c>
      <c r="K307" s="44" t="s">
        <v>614</v>
      </c>
      <c r="L307" s="52" t="s">
        <v>615</v>
      </c>
      <c r="M307" s="45"/>
      <c r="N307" s="46"/>
      <c r="O307" s="47"/>
      <c r="P307" s="57"/>
      <c r="Q307" s="63"/>
      <c r="R307" s="47"/>
      <c r="S307" s="50"/>
    </row>
    <row r="308" spans="1:20" ht="15" customHeight="1" x14ac:dyDescent="0.4">
      <c r="A308">
        <f t="shared" si="4"/>
        <v>307</v>
      </c>
      <c r="B308" s="40" t="s">
        <v>605</v>
      </c>
      <c r="C308" s="51" t="s">
        <v>2146</v>
      </c>
      <c r="D308" s="52" t="s">
        <v>1109</v>
      </c>
      <c r="E308" s="53" t="s">
        <v>852</v>
      </c>
      <c r="F308" s="53" t="s">
        <v>2147</v>
      </c>
      <c r="G308" s="53" t="s">
        <v>2148</v>
      </c>
      <c r="H308" s="60" t="s">
        <v>2149</v>
      </c>
      <c r="I308" s="52" t="s">
        <v>720</v>
      </c>
      <c r="J308" s="52" t="s">
        <v>735</v>
      </c>
      <c r="K308" s="54" t="s">
        <v>614</v>
      </c>
      <c r="L308" s="52" t="s">
        <v>615</v>
      </c>
      <c r="M308" s="56"/>
      <c r="N308" s="46"/>
      <c r="O308" s="47"/>
      <c r="P308" s="57"/>
      <c r="Q308" s="63"/>
      <c r="R308" s="47"/>
      <c r="S308" s="50"/>
    </row>
    <row r="309" spans="1:20" ht="15" customHeight="1" x14ac:dyDescent="0.4">
      <c r="A309">
        <f t="shared" si="4"/>
        <v>308</v>
      </c>
      <c r="B309" s="40" t="s">
        <v>605</v>
      </c>
      <c r="C309" s="41" t="s">
        <v>2150</v>
      </c>
      <c r="D309" s="44" t="s">
        <v>2151</v>
      </c>
      <c r="E309" s="44" t="s">
        <v>687</v>
      </c>
      <c r="F309" s="44" t="s">
        <v>2152</v>
      </c>
      <c r="G309" s="44" t="s">
        <v>2153</v>
      </c>
      <c r="H309" s="59" t="s">
        <v>2154</v>
      </c>
      <c r="I309" s="42" t="s">
        <v>649</v>
      </c>
      <c r="J309" s="42" t="s">
        <v>664</v>
      </c>
      <c r="K309" s="44" t="s">
        <v>614</v>
      </c>
      <c r="L309" s="79" t="s">
        <v>615</v>
      </c>
      <c r="M309" s="45"/>
      <c r="N309" s="46"/>
      <c r="O309" s="47"/>
      <c r="P309" s="57"/>
      <c r="Q309" s="63"/>
      <c r="R309" s="47"/>
      <c r="S309" s="50"/>
    </row>
    <row r="310" spans="1:20" ht="15" customHeight="1" x14ac:dyDescent="0.4">
      <c r="A310">
        <f t="shared" si="4"/>
        <v>309</v>
      </c>
      <c r="B310" s="40" t="s">
        <v>605</v>
      </c>
      <c r="C310" s="41" t="s">
        <v>2155</v>
      </c>
      <c r="D310" s="42" t="s">
        <v>2151</v>
      </c>
      <c r="E310" s="44" t="s">
        <v>2156</v>
      </c>
      <c r="F310" s="44" t="s">
        <v>2157</v>
      </c>
      <c r="G310" s="44" t="s">
        <v>2158</v>
      </c>
      <c r="H310" s="79" t="s">
        <v>2159</v>
      </c>
      <c r="I310" s="42" t="s">
        <v>799</v>
      </c>
      <c r="J310" s="42" t="s">
        <v>669</v>
      </c>
      <c r="K310" s="54" t="s">
        <v>614</v>
      </c>
      <c r="L310" s="42" t="s">
        <v>615</v>
      </c>
      <c r="M310" s="45"/>
      <c r="N310" s="46"/>
      <c r="O310" s="47"/>
      <c r="P310" s="57"/>
      <c r="Q310" s="63"/>
      <c r="R310" s="47"/>
      <c r="S310" s="50"/>
    </row>
    <row r="311" spans="1:20" ht="15" customHeight="1" x14ac:dyDescent="0.4">
      <c r="A311">
        <f t="shared" si="4"/>
        <v>310</v>
      </c>
      <c r="B311" s="40" t="s">
        <v>605</v>
      </c>
      <c r="C311" s="51" t="s">
        <v>2160</v>
      </c>
      <c r="D311" s="52" t="s">
        <v>1314</v>
      </c>
      <c r="E311" s="52" t="s">
        <v>2161</v>
      </c>
      <c r="F311" s="52" t="s">
        <v>2162</v>
      </c>
      <c r="G311" s="52" t="s">
        <v>2163</v>
      </c>
      <c r="H311" s="83" t="s">
        <v>2164</v>
      </c>
      <c r="I311" s="52" t="s">
        <v>799</v>
      </c>
      <c r="J311" s="53" t="s">
        <v>697</v>
      </c>
      <c r="K311" s="44" t="s">
        <v>614</v>
      </c>
      <c r="L311" s="52" t="s">
        <v>615</v>
      </c>
      <c r="M311" s="45"/>
      <c r="N311" s="118"/>
      <c r="O311" s="52"/>
      <c r="P311" s="57"/>
      <c r="Q311" s="63"/>
      <c r="R311" s="47"/>
      <c r="S311" s="69"/>
      <c r="T311" s="33"/>
    </row>
    <row r="312" spans="1:20" ht="15" customHeight="1" x14ac:dyDescent="0.4">
      <c r="A312">
        <f t="shared" si="4"/>
        <v>311</v>
      </c>
      <c r="B312" s="40" t="s">
        <v>605</v>
      </c>
      <c r="C312" s="51" t="s">
        <v>2165</v>
      </c>
      <c r="D312" s="52" t="s">
        <v>2166</v>
      </c>
      <c r="E312" s="52" t="s">
        <v>2167</v>
      </c>
      <c r="F312" s="52" t="s">
        <v>2168</v>
      </c>
      <c r="G312" s="52" t="s">
        <v>2169</v>
      </c>
      <c r="H312" s="53" t="s">
        <v>2170</v>
      </c>
      <c r="I312" s="52" t="s">
        <v>727</v>
      </c>
      <c r="J312" s="52" t="s">
        <v>1033</v>
      </c>
      <c r="K312" s="54" t="s">
        <v>614</v>
      </c>
      <c r="L312" s="52" t="s">
        <v>643</v>
      </c>
      <c r="M312" s="45"/>
      <c r="N312" s="46"/>
      <c r="O312" s="47"/>
      <c r="P312" s="72"/>
      <c r="Q312" s="58"/>
      <c r="R312" s="47"/>
      <c r="S312" s="50"/>
    </row>
    <row r="313" spans="1:20" ht="15" customHeight="1" x14ac:dyDescent="0.4">
      <c r="A313">
        <f t="shared" si="4"/>
        <v>312</v>
      </c>
      <c r="B313" s="40" t="s">
        <v>605</v>
      </c>
      <c r="C313" s="51" t="s">
        <v>2171</v>
      </c>
      <c r="D313" s="52" t="s">
        <v>2166</v>
      </c>
      <c r="E313" s="52" t="s">
        <v>2099</v>
      </c>
      <c r="F313" s="52" t="s">
        <v>2172</v>
      </c>
      <c r="G313" s="52" t="s">
        <v>2173</v>
      </c>
      <c r="H313" s="53" t="s">
        <v>2174</v>
      </c>
      <c r="I313" s="52" t="s">
        <v>641</v>
      </c>
      <c r="J313" s="52" t="s">
        <v>836</v>
      </c>
      <c r="K313" s="44" t="s">
        <v>614</v>
      </c>
      <c r="L313" s="52" t="s">
        <v>643</v>
      </c>
      <c r="M313" s="56"/>
      <c r="N313" s="46"/>
      <c r="O313" s="47"/>
      <c r="P313" s="57"/>
      <c r="Q313" s="63"/>
      <c r="R313" s="47"/>
      <c r="S313" s="50"/>
    </row>
    <row r="314" spans="1:20" ht="15" customHeight="1" x14ac:dyDescent="0.4">
      <c r="A314">
        <f t="shared" si="4"/>
        <v>313</v>
      </c>
      <c r="B314" s="40" t="s">
        <v>605</v>
      </c>
      <c r="C314" s="51" t="s">
        <v>2175</v>
      </c>
      <c r="D314" s="52" t="s">
        <v>1677</v>
      </c>
      <c r="E314" s="52" t="s">
        <v>1648</v>
      </c>
      <c r="F314" s="52" t="s">
        <v>2176</v>
      </c>
      <c r="G314" s="52" t="s">
        <v>2177</v>
      </c>
      <c r="H314" s="53" t="s">
        <v>2178</v>
      </c>
      <c r="I314" s="53" t="s">
        <v>703</v>
      </c>
      <c r="J314" s="53" t="s">
        <v>751</v>
      </c>
      <c r="K314" s="54" t="s">
        <v>614</v>
      </c>
      <c r="L314" s="52" t="s">
        <v>615</v>
      </c>
      <c r="M314" s="45"/>
      <c r="N314" s="46"/>
      <c r="O314" s="47"/>
      <c r="P314" s="72"/>
      <c r="Q314" s="63"/>
      <c r="R314" s="47"/>
      <c r="S314" s="50"/>
    </row>
    <row r="315" spans="1:20" ht="15" customHeight="1" x14ac:dyDescent="0.4">
      <c r="A315">
        <f t="shared" si="4"/>
        <v>314</v>
      </c>
      <c r="B315" s="40" t="s">
        <v>605</v>
      </c>
      <c r="C315" s="51" t="s">
        <v>2179</v>
      </c>
      <c r="D315" s="52" t="s">
        <v>1677</v>
      </c>
      <c r="E315" s="52" t="s">
        <v>1582</v>
      </c>
      <c r="F315" s="52" t="s">
        <v>2180</v>
      </c>
      <c r="G315" s="52" t="s">
        <v>2181</v>
      </c>
      <c r="H315" s="60" t="s">
        <v>2182</v>
      </c>
      <c r="I315" s="52" t="s">
        <v>630</v>
      </c>
      <c r="J315" s="52" t="s">
        <v>676</v>
      </c>
      <c r="K315" s="44" t="s">
        <v>614</v>
      </c>
      <c r="L315" s="44" t="s">
        <v>615</v>
      </c>
      <c r="M315" s="45"/>
      <c r="N315" s="46"/>
      <c r="O315" s="47"/>
      <c r="P315" s="57"/>
      <c r="Q315" s="63"/>
      <c r="R315" s="47"/>
      <c r="S315" s="50"/>
    </row>
    <row r="316" spans="1:20" ht="15" customHeight="1" x14ac:dyDescent="0.4">
      <c r="A316">
        <f t="shared" si="4"/>
        <v>315</v>
      </c>
      <c r="B316" s="40" t="s">
        <v>605</v>
      </c>
      <c r="C316" s="51" t="s">
        <v>2183</v>
      </c>
      <c r="D316" s="52" t="s">
        <v>1677</v>
      </c>
      <c r="E316" s="52" t="s">
        <v>711</v>
      </c>
      <c r="F316" s="52" t="s">
        <v>2184</v>
      </c>
      <c r="G316" s="52" t="s">
        <v>2185</v>
      </c>
      <c r="H316" s="60" t="s">
        <v>2186</v>
      </c>
      <c r="I316" s="53" t="s">
        <v>683</v>
      </c>
      <c r="J316" s="52" t="s">
        <v>669</v>
      </c>
      <c r="K316" s="54" t="s">
        <v>614</v>
      </c>
      <c r="L316" s="52" t="s">
        <v>615</v>
      </c>
      <c r="M316" s="45"/>
      <c r="N316" s="46"/>
      <c r="O316" s="47"/>
      <c r="P316" s="57"/>
      <c r="Q316" s="63"/>
      <c r="R316" s="47"/>
      <c r="S316" s="50"/>
    </row>
    <row r="317" spans="1:20" ht="15" customHeight="1" x14ac:dyDescent="0.4">
      <c r="A317">
        <f t="shared" si="4"/>
        <v>316</v>
      </c>
      <c r="B317" s="40" t="s">
        <v>605</v>
      </c>
      <c r="C317" s="51" t="s">
        <v>2187</v>
      </c>
      <c r="D317" s="52" t="s">
        <v>1677</v>
      </c>
      <c r="E317" s="52" t="s">
        <v>2188</v>
      </c>
      <c r="F317" s="52" t="s">
        <v>2189</v>
      </c>
      <c r="G317" s="52" t="s">
        <v>2190</v>
      </c>
      <c r="H317" s="59" t="s">
        <v>2191</v>
      </c>
      <c r="I317" s="52" t="s">
        <v>720</v>
      </c>
      <c r="J317" s="52" t="s">
        <v>657</v>
      </c>
      <c r="K317" s="53" t="s">
        <v>614</v>
      </c>
      <c r="L317" s="97" t="s">
        <v>615</v>
      </c>
      <c r="M317" s="45"/>
      <c r="N317" s="46"/>
      <c r="O317" s="47"/>
      <c r="P317" s="57"/>
      <c r="Q317" s="63"/>
      <c r="R317" s="47"/>
      <c r="S317" s="50"/>
    </row>
    <row r="318" spans="1:20" ht="15" customHeight="1" x14ac:dyDescent="0.4">
      <c r="A318">
        <f t="shared" si="4"/>
        <v>317</v>
      </c>
      <c r="B318" s="40" t="s">
        <v>605</v>
      </c>
      <c r="C318" s="51" t="s">
        <v>2192</v>
      </c>
      <c r="D318" s="52" t="s">
        <v>1677</v>
      </c>
      <c r="E318" s="52" t="s">
        <v>815</v>
      </c>
      <c r="F318" s="52" t="s">
        <v>765</v>
      </c>
      <c r="G318" s="52" t="s">
        <v>2193</v>
      </c>
      <c r="H318" s="60" t="s">
        <v>2194</v>
      </c>
      <c r="I318" s="52" t="s">
        <v>622</v>
      </c>
      <c r="J318" s="52" t="s">
        <v>669</v>
      </c>
      <c r="K318" s="52" t="s">
        <v>614</v>
      </c>
      <c r="L318" s="52" t="s">
        <v>615</v>
      </c>
      <c r="M318" s="45"/>
      <c r="N318" s="46"/>
      <c r="O318" s="47"/>
      <c r="P318" s="57"/>
      <c r="Q318" s="63"/>
      <c r="R318" s="47"/>
      <c r="S318" s="50"/>
    </row>
    <row r="319" spans="1:20" ht="15" customHeight="1" x14ac:dyDescent="0.4">
      <c r="A319">
        <f t="shared" si="4"/>
        <v>318</v>
      </c>
      <c r="B319" s="40" t="s">
        <v>605</v>
      </c>
      <c r="C319" s="51" t="s">
        <v>2195</v>
      </c>
      <c r="D319" s="53" t="s">
        <v>1677</v>
      </c>
      <c r="E319" s="53" t="s">
        <v>864</v>
      </c>
      <c r="F319" s="53" t="s">
        <v>2196</v>
      </c>
      <c r="G319" s="53" t="s">
        <v>2197</v>
      </c>
      <c r="H319" s="53" t="s">
        <v>2198</v>
      </c>
      <c r="I319" s="52" t="s">
        <v>630</v>
      </c>
      <c r="J319" s="53" t="s">
        <v>697</v>
      </c>
      <c r="K319" s="54" t="s">
        <v>614</v>
      </c>
      <c r="L319" s="52" t="s">
        <v>615</v>
      </c>
      <c r="M319" s="62"/>
      <c r="N319" s="46"/>
      <c r="O319" s="47"/>
      <c r="P319" s="57"/>
      <c r="Q319" s="63"/>
      <c r="R319" s="47"/>
      <c r="S319" s="50"/>
    </row>
    <row r="320" spans="1:20" ht="15" customHeight="1" x14ac:dyDescent="0.4">
      <c r="A320">
        <f t="shared" si="4"/>
        <v>319</v>
      </c>
      <c r="B320" s="40" t="s">
        <v>605</v>
      </c>
      <c r="C320" s="51" t="s">
        <v>2199</v>
      </c>
      <c r="D320" s="52" t="s">
        <v>1677</v>
      </c>
      <c r="E320" s="52" t="s">
        <v>2200</v>
      </c>
      <c r="F320" s="52" t="s">
        <v>2201</v>
      </c>
      <c r="G320" s="52" t="s">
        <v>2202</v>
      </c>
      <c r="H320" s="82" t="s">
        <v>2203</v>
      </c>
      <c r="I320" s="53" t="s">
        <v>703</v>
      </c>
      <c r="J320" s="53" t="s">
        <v>704</v>
      </c>
      <c r="K320" s="53" t="s">
        <v>614</v>
      </c>
      <c r="L320" s="52" t="s">
        <v>615</v>
      </c>
      <c r="M320" s="45"/>
      <c r="N320" s="46"/>
      <c r="O320" s="95"/>
      <c r="P320" s="57"/>
      <c r="Q320" s="63"/>
      <c r="R320" s="47"/>
      <c r="S320" s="50"/>
    </row>
    <row r="321" spans="1:20" ht="15" customHeight="1" x14ac:dyDescent="0.4">
      <c r="A321">
        <f t="shared" si="4"/>
        <v>320</v>
      </c>
      <c r="B321" s="40" t="s">
        <v>605</v>
      </c>
      <c r="C321" s="51" t="s">
        <v>2204</v>
      </c>
      <c r="D321" s="52" t="s">
        <v>2205</v>
      </c>
      <c r="E321" s="52" t="s">
        <v>1175</v>
      </c>
      <c r="F321" s="52" t="s">
        <v>2206</v>
      </c>
      <c r="G321" s="52" t="s">
        <v>2207</v>
      </c>
      <c r="H321" s="59" t="s">
        <v>2208</v>
      </c>
      <c r="I321" s="53" t="s">
        <v>649</v>
      </c>
      <c r="J321" s="52" t="s">
        <v>669</v>
      </c>
      <c r="K321" s="54" t="s">
        <v>614</v>
      </c>
      <c r="L321" s="52" t="s">
        <v>615</v>
      </c>
      <c r="M321" s="45"/>
      <c r="N321" s="46"/>
      <c r="O321" s="47"/>
      <c r="P321" s="57"/>
      <c r="Q321" s="63"/>
      <c r="R321" s="47"/>
      <c r="S321" s="50"/>
    </row>
    <row r="322" spans="1:20" ht="15" customHeight="1" x14ac:dyDescent="0.4">
      <c r="A322">
        <f t="shared" si="4"/>
        <v>321</v>
      </c>
      <c r="B322" s="40" t="s">
        <v>605</v>
      </c>
      <c r="C322" s="130" t="s">
        <v>2209</v>
      </c>
      <c r="D322" s="87" t="s">
        <v>2210</v>
      </c>
      <c r="E322" s="87" t="s">
        <v>1966</v>
      </c>
      <c r="F322" s="87" t="s">
        <v>2211</v>
      </c>
      <c r="G322" s="87" t="s">
        <v>2212</v>
      </c>
      <c r="H322" s="141" t="s">
        <v>2213</v>
      </c>
      <c r="I322" s="87" t="s">
        <v>641</v>
      </c>
      <c r="J322" s="87" t="s">
        <v>664</v>
      </c>
      <c r="K322" s="88" t="s">
        <v>614</v>
      </c>
      <c r="L322" s="88" t="s">
        <v>643</v>
      </c>
      <c r="M322" s="142"/>
      <c r="N322" s="46"/>
      <c r="O322" s="47"/>
      <c r="P322" s="57"/>
      <c r="Q322" s="63"/>
      <c r="R322" s="47"/>
      <c r="S322" s="50"/>
      <c r="T322" s="98"/>
    </row>
    <row r="323" spans="1:20" ht="15" customHeight="1" x14ac:dyDescent="0.4">
      <c r="A323">
        <f t="shared" si="4"/>
        <v>322</v>
      </c>
      <c r="B323" s="40" t="s">
        <v>605</v>
      </c>
      <c r="C323" s="41" t="s">
        <v>2214</v>
      </c>
      <c r="D323" s="52" t="s">
        <v>2215</v>
      </c>
      <c r="E323" s="42" t="s">
        <v>2216</v>
      </c>
      <c r="F323" s="42" t="s">
        <v>1222</v>
      </c>
      <c r="G323" s="42" t="s">
        <v>2217</v>
      </c>
      <c r="H323" s="59" t="s">
        <v>2218</v>
      </c>
      <c r="I323" s="42" t="s">
        <v>649</v>
      </c>
      <c r="J323" s="42" t="s">
        <v>751</v>
      </c>
      <c r="K323" s="44" t="s">
        <v>614</v>
      </c>
      <c r="L323" s="52" t="s">
        <v>615</v>
      </c>
      <c r="M323" s="56"/>
      <c r="N323" s="46"/>
      <c r="O323" s="47"/>
      <c r="P323" s="57"/>
      <c r="Q323" s="63"/>
      <c r="R323" s="47"/>
      <c r="S323" s="81"/>
    </row>
    <row r="324" spans="1:20" ht="15" customHeight="1" x14ac:dyDescent="0.4">
      <c r="A324">
        <f t="shared" ref="A324:A387" si="5">A323+1</f>
        <v>323</v>
      </c>
      <c r="B324" s="40" t="s">
        <v>605</v>
      </c>
      <c r="C324" s="41" t="s">
        <v>2219</v>
      </c>
      <c r="D324" s="52" t="s">
        <v>2200</v>
      </c>
      <c r="E324" s="42" t="s">
        <v>699</v>
      </c>
      <c r="F324" s="42" t="s">
        <v>2220</v>
      </c>
      <c r="G324" s="42" t="s">
        <v>2221</v>
      </c>
      <c r="H324" s="83" t="s">
        <v>2222</v>
      </c>
      <c r="I324" s="42" t="s">
        <v>703</v>
      </c>
      <c r="J324" s="42" t="s">
        <v>697</v>
      </c>
      <c r="K324" s="44" t="s">
        <v>614</v>
      </c>
      <c r="L324" s="52" t="s">
        <v>615</v>
      </c>
      <c r="M324" s="45"/>
      <c r="N324" s="46"/>
      <c r="O324" s="47"/>
      <c r="P324" s="57"/>
      <c r="Q324" s="63"/>
      <c r="R324" s="47"/>
      <c r="S324" s="50"/>
    </row>
    <row r="325" spans="1:20" ht="15" customHeight="1" x14ac:dyDescent="0.4">
      <c r="A325">
        <f t="shared" si="5"/>
        <v>324</v>
      </c>
      <c r="B325" s="40" t="s">
        <v>605</v>
      </c>
      <c r="C325" s="41" t="s">
        <v>2223</v>
      </c>
      <c r="D325" s="42" t="s">
        <v>2200</v>
      </c>
      <c r="E325" s="42" t="s">
        <v>2224</v>
      </c>
      <c r="F325" s="42" t="s">
        <v>2225</v>
      </c>
      <c r="G325" s="42" t="s">
        <v>2226</v>
      </c>
      <c r="H325" s="79" t="s">
        <v>2227</v>
      </c>
      <c r="I325" s="42" t="s">
        <v>1055</v>
      </c>
      <c r="J325" s="44" t="s">
        <v>1086</v>
      </c>
      <c r="K325" s="42" t="s">
        <v>614</v>
      </c>
      <c r="L325" s="42" t="s">
        <v>615</v>
      </c>
      <c r="M325" s="80"/>
      <c r="N325" s="46"/>
      <c r="O325" s="47"/>
      <c r="P325" s="57"/>
      <c r="Q325" s="63"/>
      <c r="R325" s="47"/>
      <c r="S325" s="50"/>
    </row>
    <row r="326" spans="1:20" ht="15" customHeight="1" x14ac:dyDescent="0.4">
      <c r="A326">
        <f t="shared" si="5"/>
        <v>325</v>
      </c>
      <c r="B326" s="40" t="s">
        <v>605</v>
      </c>
      <c r="C326" s="51" t="s">
        <v>2228</v>
      </c>
      <c r="D326" s="52" t="s">
        <v>852</v>
      </c>
      <c r="E326" s="52" t="s">
        <v>2229</v>
      </c>
      <c r="F326" s="52" t="s">
        <v>2230</v>
      </c>
      <c r="G326" s="52" t="s">
        <v>2231</v>
      </c>
      <c r="H326" s="60" t="s">
        <v>2232</v>
      </c>
      <c r="I326" s="52" t="s">
        <v>703</v>
      </c>
      <c r="J326" s="53" t="s">
        <v>623</v>
      </c>
      <c r="K326" s="52" t="s">
        <v>614</v>
      </c>
      <c r="L326" s="52" t="s">
        <v>615</v>
      </c>
      <c r="M326" s="56"/>
      <c r="N326" s="46"/>
      <c r="O326" s="95"/>
      <c r="P326" s="57"/>
      <c r="Q326" s="63"/>
      <c r="R326" s="47"/>
    </row>
    <row r="327" spans="1:20" ht="15" customHeight="1" x14ac:dyDescent="0.4">
      <c r="A327">
        <f t="shared" si="5"/>
        <v>326</v>
      </c>
      <c r="B327" s="40" t="s">
        <v>605</v>
      </c>
      <c r="C327" s="51" t="s">
        <v>2233</v>
      </c>
      <c r="D327" s="52" t="s">
        <v>852</v>
      </c>
      <c r="E327" s="52" t="s">
        <v>2234</v>
      </c>
      <c r="F327" s="52" t="s">
        <v>2235</v>
      </c>
      <c r="G327" s="52" t="s">
        <v>2236</v>
      </c>
      <c r="H327" s="60" t="s">
        <v>2237</v>
      </c>
      <c r="I327" s="52" t="s">
        <v>612</v>
      </c>
      <c r="J327" s="52" t="s">
        <v>669</v>
      </c>
      <c r="K327" s="54" t="s">
        <v>614</v>
      </c>
      <c r="L327" s="52" t="s">
        <v>615</v>
      </c>
      <c r="M327" s="45"/>
      <c r="N327" s="46"/>
      <c r="O327" s="47"/>
      <c r="P327" s="57"/>
      <c r="Q327" s="63"/>
      <c r="R327" s="47"/>
      <c r="S327" s="50"/>
    </row>
    <row r="328" spans="1:20" ht="15" customHeight="1" x14ac:dyDescent="0.4">
      <c r="A328">
        <f t="shared" si="5"/>
        <v>327</v>
      </c>
      <c r="B328" s="40" t="s">
        <v>605</v>
      </c>
      <c r="C328" s="51" t="s">
        <v>2238</v>
      </c>
      <c r="D328" s="52" t="s">
        <v>852</v>
      </c>
      <c r="E328" s="52" t="s">
        <v>1306</v>
      </c>
      <c r="F328" s="52" t="s">
        <v>2239</v>
      </c>
      <c r="G328" s="52" t="s">
        <v>2240</v>
      </c>
      <c r="H328" s="53" t="s">
        <v>2241</v>
      </c>
      <c r="I328" s="53" t="s">
        <v>649</v>
      </c>
      <c r="J328" s="52" t="s">
        <v>650</v>
      </c>
      <c r="K328" s="54" t="s">
        <v>614</v>
      </c>
      <c r="L328" s="52" t="s">
        <v>615</v>
      </c>
      <c r="M328" s="45"/>
      <c r="N328" s="46"/>
      <c r="O328" s="47"/>
      <c r="P328" s="57"/>
      <c r="Q328" s="63"/>
      <c r="R328" s="47"/>
      <c r="S328" s="50"/>
    </row>
    <row r="329" spans="1:20" ht="15" customHeight="1" x14ac:dyDescent="0.4">
      <c r="A329">
        <f t="shared" si="5"/>
        <v>328</v>
      </c>
      <c r="B329" s="40" t="s">
        <v>605</v>
      </c>
      <c r="C329" s="51" t="s">
        <v>2242</v>
      </c>
      <c r="D329" s="52" t="s">
        <v>852</v>
      </c>
      <c r="E329" s="52" t="s">
        <v>1000</v>
      </c>
      <c r="F329" s="52" t="s">
        <v>2243</v>
      </c>
      <c r="G329" s="52" t="s">
        <v>2244</v>
      </c>
      <c r="H329" s="103" t="s">
        <v>2245</v>
      </c>
      <c r="I329" s="53" t="s">
        <v>1026</v>
      </c>
      <c r="J329" s="52" t="s">
        <v>613</v>
      </c>
      <c r="K329" s="54" t="s">
        <v>614</v>
      </c>
      <c r="L329" s="52" t="s">
        <v>615</v>
      </c>
      <c r="M329" s="80"/>
      <c r="N329" s="46"/>
      <c r="O329" s="47"/>
      <c r="P329" s="72"/>
      <c r="Q329" s="63"/>
      <c r="R329" s="47"/>
      <c r="S329" s="50"/>
    </row>
    <row r="330" spans="1:20" ht="15" customHeight="1" x14ac:dyDescent="0.4">
      <c r="A330">
        <f t="shared" si="5"/>
        <v>329</v>
      </c>
      <c r="B330" s="40" t="s">
        <v>605</v>
      </c>
      <c r="C330" s="51" t="s">
        <v>2246</v>
      </c>
      <c r="D330" s="52" t="s">
        <v>852</v>
      </c>
      <c r="E330" s="52" t="s">
        <v>699</v>
      </c>
      <c r="F330" s="52" t="s">
        <v>2247</v>
      </c>
      <c r="G330" s="52" t="s">
        <v>2248</v>
      </c>
      <c r="H330" s="53" t="s">
        <v>2249</v>
      </c>
      <c r="I330" s="52" t="s">
        <v>683</v>
      </c>
      <c r="J330" s="52" t="s">
        <v>664</v>
      </c>
      <c r="K330" s="54" t="s">
        <v>614</v>
      </c>
      <c r="L330" s="52" t="s">
        <v>643</v>
      </c>
      <c r="M330" s="45"/>
      <c r="N330" s="46"/>
      <c r="O330" s="47"/>
      <c r="P330" s="57"/>
      <c r="Q330" s="63"/>
      <c r="R330" s="47"/>
      <c r="S330" s="50"/>
    </row>
    <row r="331" spans="1:20" ht="15" customHeight="1" x14ac:dyDescent="0.4">
      <c r="A331">
        <f t="shared" si="5"/>
        <v>330</v>
      </c>
      <c r="B331" s="40" t="s">
        <v>605</v>
      </c>
      <c r="C331" s="51" t="s">
        <v>457</v>
      </c>
      <c r="D331" s="52" t="s">
        <v>852</v>
      </c>
      <c r="E331" s="52" t="s">
        <v>1104</v>
      </c>
      <c r="F331" s="52" t="s">
        <v>2250</v>
      </c>
      <c r="G331" s="52" t="s">
        <v>2251</v>
      </c>
      <c r="H331" s="53" t="s">
        <v>160</v>
      </c>
      <c r="I331" s="52" t="s">
        <v>2252</v>
      </c>
      <c r="J331" s="52" t="s">
        <v>778</v>
      </c>
      <c r="K331" s="54" t="s">
        <v>614</v>
      </c>
      <c r="L331" s="52" t="s">
        <v>615</v>
      </c>
      <c r="M331" s="45"/>
      <c r="N331" s="46"/>
      <c r="O331" s="47"/>
      <c r="P331" s="57"/>
      <c r="Q331" s="63"/>
      <c r="R331" s="47"/>
      <c r="S331" s="50"/>
    </row>
    <row r="332" spans="1:20" ht="15" customHeight="1" x14ac:dyDescent="0.4">
      <c r="A332">
        <f t="shared" si="5"/>
        <v>331</v>
      </c>
      <c r="B332" s="40" t="s">
        <v>605</v>
      </c>
      <c r="C332" s="51" t="s">
        <v>2253</v>
      </c>
      <c r="D332" s="52" t="s">
        <v>852</v>
      </c>
      <c r="E332" s="52" t="s">
        <v>975</v>
      </c>
      <c r="F332" s="52" t="s">
        <v>1700</v>
      </c>
      <c r="G332" s="52" t="s">
        <v>2254</v>
      </c>
      <c r="H332" s="82" t="s">
        <v>2255</v>
      </c>
      <c r="I332" s="52" t="s">
        <v>683</v>
      </c>
      <c r="J332" s="52" t="s">
        <v>637</v>
      </c>
      <c r="K332" s="54" t="s">
        <v>614</v>
      </c>
      <c r="L332" s="52" t="s">
        <v>643</v>
      </c>
      <c r="M332" s="45"/>
      <c r="N332" s="46"/>
      <c r="O332" s="47"/>
      <c r="P332" s="57"/>
      <c r="Q332" s="63"/>
      <c r="R332" s="47"/>
      <c r="S332" s="105"/>
    </row>
    <row r="333" spans="1:20" ht="15" customHeight="1" x14ac:dyDescent="0.4">
      <c r="A333">
        <f t="shared" si="5"/>
        <v>332</v>
      </c>
      <c r="B333" s="40" t="s">
        <v>605</v>
      </c>
      <c r="C333" s="51" t="s">
        <v>2256</v>
      </c>
      <c r="D333" s="52" t="s">
        <v>852</v>
      </c>
      <c r="E333" s="52" t="s">
        <v>2257</v>
      </c>
      <c r="F333" s="52" t="s">
        <v>2258</v>
      </c>
      <c r="G333" s="52" t="s">
        <v>2259</v>
      </c>
      <c r="H333" s="43" t="s">
        <v>2260</v>
      </c>
      <c r="I333" s="52" t="s">
        <v>703</v>
      </c>
      <c r="J333" s="53" t="s">
        <v>684</v>
      </c>
      <c r="K333" s="52" t="s">
        <v>614</v>
      </c>
      <c r="L333" s="52" t="s">
        <v>615</v>
      </c>
      <c r="M333" s="45"/>
      <c r="N333" s="46"/>
      <c r="O333" s="47"/>
      <c r="P333" s="72"/>
      <c r="Q333" s="63"/>
      <c r="R333" s="47"/>
      <c r="S333" s="50"/>
      <c r="T333" s="98"/>
    </row>
    <row r="334" spans="1:20" ht="15" customHeight="1" x14ac:dyDescent="0.4">
      <c r="A334">
        <f t="shared" si="5"/>
        <v>333</v>
      </c>
      <c r="B334" s="40" t="s">
        <v>605</v>
      </c>
      <c r="C334" s="51" t="s">
        <v>2261</v>
      </c>
      <c r="D334" s="52" t="s">
        <v>2262</v>
      </c>
      <c r="E334" s="52" t="s">
        <v>659</v>
      </c>
      <c r="F334" s="52" t="s">
        <v>2263</v>
      </c>
      <c r="G334" s="52" t="s">
        <v>2264</v>
      </c>
      <c r="H334" s="53" t="s">
        <v>2265</v>
      </c>
      <c r="I334" s="52" t="s">
        <v>641</v>
      </c>
      <c r="J334" s="52" t="s">
        <v>778</v>
      </c>
      <c r="K334" s="54" t="s">
        <v>614</v>
      </c>
      <c r="L334" s="52" t="s">
        <v>615</v>
      </c>
      <c r="M334" s="45"/>
      <c r="N334" s="46"/>
      <c r="O334" s="47"/>
      <c r="P334" s="57"/>
      <c r="Q334" s="63"/>
      <c r="R334" s="47"/>
      <c r="S334" s="50"/>
    </row>
    <row r="335" spans="1:20" ht="15" customHeight="1" x14ac:dyDescent="0.4">
      <c r="A335">
        <f t="shared" si="5"/>
        <v>334</v>
      </c>
      <c r="B335" s="40" t="s">
        <v>605</v>
      </c>
      <c r="C335" s="51" t="s">
        <v>2266</v>
      </c>
      <c r="D335" s="53" t="s">
        <v>2267</v>
      </c>
      <c r="E335" s="53" t="s">
        <v>1077</v>
      </c>
      <c r="F335" s="53" t="s">
        <v>2268</v>
      </c>
      <c r="G335" s="53" t="s">
        <v>2269</v>
      </c>
      <c r="H335" s="60" t="s">
        <v>2270</v>
      </c>
      <c r="I335" s="42" t="s">
        <v>799</v>
      </c>
      <c r="J335" s="42" t="s">
        <v>676</v>
      </c>
      <c r="K335" s="52" t="s">
        <v>614</v>
      </c>
      <c r="L335" s="52" t="s">
        <v>615</v>
      </c>
      <c r="M335" s="45"/>
      <c r="N335" s="46"/>
      <c r="O335" s="47"/>
      <c r="P335" s="57"/>
      <c r="Q335" s="63"/>
      <c r="R335" s="47"/>
      <c r="S335" s="50"/>
    </row>
    <row r="336" spans="1:20" ht="15" customHeight="1" x14ac:dyDescent="0.4">
      <c r="A336">
        <f t="shared" si="5"/>
        <v>335</v>
      </c>
      <c r="B336" s="40" t="s">
        <v>605</v>
      </c>
      <c r="C336" s="51" t="s">
        <v>2271</v>
      </c>
      <c r="D336" s="53" t="s">
        <v>2272</v>
      </c>
      <c r="E336" s="53" t="s">
        <v>2273</v>
      </c>
      <c r="F336" s="53" t="s">
        <v>2274</v>
      </c>
      <c r="G336" s="53" t="s">
        <v>2275</v>
      </c>
      <c r="H336" s="60" t="s">
        <v>2276</v>
      </c>
      <c r="I336" s="53" t="s">
        <v>2277</v>
      </c>
      <c r="J336" s="52" t="s">
        <v>1033</v>
      </c>
      <c r="K336" s="52" t="s">
        <v>614</v>
      </c>
      <c r="L336" s="52" t="s">
        <v>615</v>
      </c>
      <c r="M336" s="62"/>
      <c r="N336" s="46"/>
      <c r="O336" s="47"/>
      <c r="P336" s="57"/>
      <c r="Q336" s="63"/>
      <c r="R336" s="47"/>
      <c r="S336" s="50"/>
    </row>
    <row r="337" spans="1:20" ht="15" customHeight="1" x14ac:dyDescent="0.4">
      <c r="A337">
        <f t="shared" si="5"/>
        <v>336</v>
      </c>
      <c r="B337" s="40" t="s">
        <v>605</v>
      </c>
      <c r="C337" s="51" t="s">
        <v>2278</v>
      </c>
      <c r="D337" s="52" t="s">
        <v>2279</v>
      </c>
      <c r="E337" s="52" t="s">
        <v>2280</v>
      </c>
      <c r="F337" s="52" t="s">
        <v>2281</v>
      </c>
      <c r="G337" s="52" t="s">
        <v>2282</v>
      </c>
      <c r="H337" s="60" t="s">
        <v>2283</v>
      </c>
      <c r="I337" s="52" t="s">
        <v>612</v>
      </c>
      <c r="J337" s="52" t="s">
        <v>637</v>
      </c>
      <c r="K337" s="52" t="s">
        <v>614</v>
      </c>
      <c r="L337" s="52" t="s">
        <v>615</v>
      </c>
      <c r="M337" s="45"/>
      <c r="N337" s="46"/>
      <c r="O337" s="47"/>
      <c r="P337" s="57"/>
      <c r="Q337" s="63"/>
      <c r="R337" s="47"/>
      <c r="S337" s="50"/>
    </row>
    <row r="338" spans="1:20" ht="15" customHeight="1" x14ac:dyDescent="0.4">
      <c r="A338">
        <f t="shared" si="5"/>
        <v>337</v>
      </c>
      <c r="B338" s="40" t="s">
        <v>605</v>
      </c>
      <c r="C338" s="41" t="s">
        <v>2284</v>
      </c>
      <c r="D338" s="42" t="s">
        <v>2285</v>
      </c>
      <c r="E338" s="42" t="s">
        <v>699</v>
      </c>
      <c r="F338" s="44" t="s">
        <v>2286</v>
      </c>
      <c r="G338" s="44" t="s">
        <v>2287</v>
      </c>
      <c r="H338" s="82" t="s">
        <v>2288</v>
      </c>
      <c r="I338" s="53" t="s">
        <v>799</v>
      </c>
      <c r="J338" s="42" t="s">
        <v>613</v>
      </c>
      <c r="K338" s="44" t="s">
        <v>614</v>
      </c>
      <c r="L338" s="44" t="s">
        <v>615</v>
      </c>
      <c r="M338" s="56"/>
      <c r="N338" s="46"/>
      <c r="O338" s="47"/>
      <c r="P338" s="57"/>
      <c r="Q338" s="63"/>
      <c r="R338" s="47"/>
      <c r="S338" s="50"/>
    </row>
    <row r="339" spans="1:20" ht="15" customHeight="1" x14ac:dyDescent="0.4">
      <c r="A339">
        <f t="shared" si="5"/>
        <v>338</v>
      </c>
      <c r="B339" s="40" t="s">
        <v>605</v>
      </c>
      <c r="C339" s="51" t="s">
        <v>2289</v>
      </c>
      <c r="D339" s="52" t="s">
        <v>2290</v>
      </c>
      <c r="E339" s="52" t="s">
        <v>1370</v>
      </c>
      <c r="F339" s="52" t="s">
        <v>917</v>
      </c>
      <c r="G339" s="52" t="s">
        <v>2291</v>
      </c>
      <c r="H339" s="60" t="s">
        <v>2292</v>
      </c>
      <c r="I339" s="53" t="s">
        <v>703</v>
      </c>
      <c r="J339" s="52" t="s">
        <v>657</v>
      </c>
      <c r="K339" s="54" t="s">
        <v>614</v>
      </c>
      <c r="L339" s="52" t="s">
        <v>615</v>
      </c>
      <c r="M339" s="80"/>
      <c r="N339" s="46"/>
      <c r="O339" s="47"/>
      <c r="P339" s="57"/>
      <c r="Q339" s="63"/>
      <c r="R339" s="47"/>
      <c r="S339" s="50"/>
    </row>
    <row r="340" spans="1:20" ht="15" customHeight="1" x14ac:dyDescent="0.4">
      <c r="A340">
        <f t="shared" si="5"/>
        <v>339</v>
      </c>
      <c r="B340" s="40" t="s">
        <v>605</v>
      </c>
      <c r="C340" s="51" t="s">
        <v>2293</v>
      </c>
      <c r="D340" s="52" t="s">
        <v>2294</v>
      </c>
      <c r="E340" s="52" t="s">
        <v>882</v>
      </c>
      <c r="F340" s="52" t="s">
        <v>2295</v>
      </c>
      <c r="G340" s="52" t="s">
        <v>2296</v>
      </c>
      <c r="H340" s="82" t="s">
        <v>2297</v>
      </c>
      <c r="I340" s="52" t="s">
        <v>2298</v>
      </c>
      <c r="J340" s="52" t="s">
        <v>697</v>
      </c>
      <c r="K340" s="52" t="s">
        <v>614</v>
      </c>
      <c r="L340" s="52" t="s">
        <v>643</v>
      </c>
      <c r="M340" s="56"/>
      <c r="N340" s="46"/>
      <c r="O340" s="47"/>
      <c r="P340" s="57"/>
      <c r="Q340" s="63"/>
      <c r="R340" s="47"/>
      <c r="S340" s="50"/>
    </row>
    <row r="341" spans="1:20" ht="15" customHeight="1" x14ac:dyDescent="0.4">
      <c r="A341">
        <f t="shared" si="5"/>
        <v>340</v>
      </c>
      <c r="B341" s="40" t="s">
        <v>605</v>
      </c>
      <c r="C341" s="51" t="s">
        <v>262</v>
      </c>
      <c r="D341" s="52" t="s">
        <v>2299</v>
      </c>
      <c r="E341" s="52" t="s">
        <v>980</v>
      </c>
      <c r="F341" s="52" t="s">
        <v>2300</v>
      </c>
      <c r="G341" s="52" t="s">
        <v>2301</v>
      </c>
      <c r="H341" s="43" t="s">
        <v>2302</v>
      </c>
      <c r="I341" s="52" t="s">
        <v>1219</v>
      </c>
      <c r="J341" s="53" t="s">
        <v>778</v>
      </c>
      <c r="K341" s="54" t="s">
        <v>614</v>
      </c>
      <c r="L341" s="52" t="s">
        <v>615</v>
      </c>
      <c r="M341" s="45"/>
      <c r="N341" s="46"/>
      <c r="O341" s="47"/>
      <c r="P341" s="57"/>
      <c r="Q341" s="63"/>
      <c r="R341" s="47"/>
      <c r="S341" s="50"/>
    </row>
    <row r="342" spans="1:20" ht="15" customHeight="1" x14ac:dyDescent="0.4">
      <c r="A342">
        <f t="shared" si="5"/>
        <v>341</v>
      </c>
      <c r="B342" s="40" t="s">
        <v>605</v>
      </c>
      <c r="C342" s="51" t="s">
        <v>2303</v>
      </c>
      <c r="D342" s="52" t="s">
        <v>2304</v>
      </c>
      <c r="E342" s="52" t="s">
        <v>716</v>
      </c>
      <c r="F342" s="52" t="s">
        <v>2305</v>
      </c>
      <c r="G342" s="52" t="s">
        <v>2306</v>
      </c>
      <c r="H342" s="60" t="s">
        <v>2307</v>
      </c>
      <c r="I342" s="52" t="s">
        <v>762</v>
      </c>
      <c r="J342" s="52" t="s">
        <v>650</v>
      </c>
      <c r="K342" s="52" t="s">
        <v>614</v>
      </c>
      <c r="L342" s="52" t="s">
        <v>615</v>
      </c>
      <c r="M342" s="56"/>
      <c r="N342" s="46"/>
      <c r="O342" s="47"/>
      <c r="P342" s="57"/>
      <c r="Q342" s="63"/>
      <c r="R342" s="47"/>
      <c r="S342" s="81"/>
    </row>
    <row r="343" spans="1:20" ht="15" customHeight="1" x14ac:dyDescent="0.4">
      <c r="A343">
        <f t="shared" si="5"/>
        <v>342</v>
      </c>
      <c r="B343" s="40" t="s">
        <v>605</v>
      </c>
      <c r="C343" s="51" t="s">
        <v>2308</v>
      </c>
      <c r="D343" s="52" t="s">
        <v>2309</v>
      </c>
      <c r="E343" s="52" t="s">
        <v>2023</v>
      </c>
      <c r="F343" s="52" t="s">
        <v>2310</v>
      </c>
      <c r="G343" s="52" t="s">
        <v>2311</v>
      </c>
      <c r="H343" s="60" t="s">
        <v>2312</v>
      </c>
      <c r="I343" s="53" t="s">
        <v>703</v>
      </c>
      <c r="J343" s="52" t="s">
        <v>751</v>
      </c>
      <c r="K343" s="53" t="s">
        <v>614</v>
      </c>
      <c r="L343" s="52" t="s">
        <v>615</v>
      </c>
      <c r="M343" s="45"/>
      <c r="N343" s="46"/>
      <c r="O343" s="47"/>
      <c r="P343" s="72"/>
      <c r="Q343" s="63"/>
      <c r="R343" s="47"/>
      <c r="S343" s="50"/>
    </row>
    <row r="344" spans="1:20" ht="15" customHeight="1" x14ac:dyDescent="0.4">
      <c r="A344">
        <f t="shared" si="5"/>
        <v>343</v>
      </c>
      <c r="B344" s="40" t="s">
        <v>605</v>
      </c>
      <c r="C344" s="51" t="s">
        <v>2313</v>
      </c>
      <c r="D344" s="52" t="s">
        <v>2314</v>
      </c>
      <c r="E344" s="52" t="s">
        <v>1028</v>
      </c>
      <c r="F344" s="52" t="s">
        <v>2315</v>
      </c>
      <c r="G344" s="52" t="s">
        <v>2316</v>
      </c>
      <c r="H344" s="83" t="s">
        <v>2317</v>
      </c>
      <c r="I344" s="52" t="s">
        <v>913</v>
      </c>
      <c r="J344" s="53" t="s">
        <v>684</v>
      </c>
      <c r="K344" s="44" t="s">
        <v>614</v>
      </c>
      <c r="L344" s="52" t="s">
        <v>615</v>
      </c>
      <c r="M344" s="45"/>
      <c r="N344" s="46"/>
      <c r="O344" s="47"/>
      <c r="P344" s="57"/>
      <c r="Q344" s="58"/>
      <c r="R344" s="68"/>
      <c r="S344" s="81"/>
    </row>
    <row r="345" spans="1:20" ht="15" customHeight="1" x14ac:dyDescent="0.4">
      <c r="A345">
        <f t="shared" si="5"/>
        <v>344</v>
      </c>
      <c r="B345" s="40" t="s">
        <v>605</v>
      </c>
      <c r="C345" s="51" t="s">
        <v>2318</v>
      </c>
      <c r="D345" s="52" t="s">
        <v>2319</v>
      </c>
      <c r="E345" s="52" t="s">
        <v>645</v>
      </c>
      <c r="F345" s="52" t="s">
        <v>2320</v>
      </c>
      <c r="G345" s="52" t="s">
        <v>2321</v>
      </c>
      <c r="H345" s="53" t="s">
        <v>2322</v>
      </c>
      <c r="I345" s="53" t="s">
        <v>649</v>
      </c>
      <c r="J345" s="52" t="s">
        <v>704</v>
      </c>
      <c r="K345" s="53" t="s">
        <v>614</v>
      </c>
      <c r="L345" s="52" t="s">
        <v>615</v>
      </c>
      <c r="M345" s="45"/>
      <c r="N345" s="46"/>
      <c r="O345" s="47"/>
      <c r="P345" s="72"/>
      <c r="Q345" s="63"/>
      <c r="R345" s="47"/>
      <c r="S345" s="50"/>
    </row>
    <row r="346" spans="1:20" ht="15" customHeight="1" x14ac:dyDescent="0.4">
      <c r="A346">
        <f t="shared" si="5"/>
        <v>345</v>
      </c>
      <c r="B346" s="40" t="s">
        <v>605</v>
      </c>
      <c r="C346" s="51" t="s">
        <v>2323</v>
      </c>
      <c r="D346" s="52" t="s">
        <v>1268</v>
      </c>
      <c r="E346" s="52" t="s">
        <v>687</v>
      </c>
      <c r="F346" s="52" t="s">
        <v>2324</v>
      </c>
      <c r="G346" s="52" t="s">
        <v>2325</v>
      </c>
      <c r="H346" s="53" t="s">
        <v>2326</v>
      </c>
      <c r="I346" s="53" t="s">
        <v>683</v>
      </c>
      <c r="J346" s="53" t="s">
        <v>637</v>
      </c>
      <c r="K346" s="53" t="s">
        <v>614</v>
      </c>
      <c r="L346" s="52" t="s">
        <v>643</v>
      </c>
      <c r="M346" s="56"/>
      <c r="N346" s="46"/>
      <c r="O346" s="47"/>
      <c r="P346" s="57"/>
      <c r="Q346" s="63"/>
      <c r="R346" s="47"/>
      <c r="S346" s="50"/>
    </row>
    <row r="347" spans="1:20" ht="15" customHeight="1" x14ac:dyDescent="0.4">
      <c r="A347">
        <f t="shared" si="5"/>
        <v>346</v>
      </c>
      <c r="B347" s="40" t="s">
        <v>605</v>
      </c>
      <c r="C347" s="51" t="s">
        <v>2327</v>
      </c>
      <c r="D347" s="52" t="s">
        <v>2328</v>
      </c>
      <c r="E347" s="53" t="s">
        <v>2329</v>
      </c>
      <c r="F347" s="53" t="s">
        <v>2330</v>
      </c>
      <c r="G347" s="53" t="s">
        <v>2331</v>
      </c>
      <c r="H347" s="82" t="s">
        <v>2332</v>
      </c>
      <c r="I347" s="53" t="s">
        <v>683</v>
      </c>
      <c r="J347" s="52" t="s">
        <v>631</v>
      </c>
      <c r="K347" s="53" t="s">
        <v>614</v>
      </c>
      <c r="L347" s="52" t="s">
        <v>643</v>
      </c>
      <c r="M347" s="45"/>
      <c r="N347" s="46"/>
      <c r="O347" s="47"/>
      <c r="P347" s="57"/>
      <c r="Q347" s="63"/>
      <c r="R347" s="47"/>
      <c r="S347" s="50"/>
      <c r="T347" s="98"/>
    </row>
    <row r="348" spans="1:20" ht="15" customHeight="1" x14ac:dyDescent="0.4">
      <c r="A348">
        <f t="shared" si="5"/>
        <v>347</v>
      </c>
      <c r="B348" s="40" t="s">
        <v>605</v>
      </c>
      <c r="C348" s="41" t="s">
        <v>2333</v>
      </c>
      <c r="D348" s="52" t="s">
        <v>2334</v>
      </c>
      <c r="E348" s="42" t="s">
        <v>2335</v>
      </c>
      <c r="F348" s="42" t="s">
        <v>2336</v>
      </c>
      <c r="G348" s="42" t="s">
        <v>2337</v>
      </c>
      <c r="H348" s="59" t="s">
        <v>2338</v>
      </c>
      <c r="I348" s="52" t="s">
        <v>703</v>
      </c>
      <c r="J348" s="52" t="s">
        <v>813</v>
      </c>
      <c r="K348" s="54" t="s">
        <v>614</v>
      </c>
      <c r="L348" s="52" t="s">
        <v>615</v>
      </c>
      <c r="M348" s="80"/>
      <c r="N348" s="46"/>
      <c r="O348" s="47"/>
      <c r="P348" s="57"/>
      <c r="Q348" s="63"/>
      <c r="R348" s="47"/>
      <c r="S348" s="50"/>
    </row>
    <row r="349" spans="1:20" ht="15" customHeight="1" x14ac:dyDescent="0.4">
      <c r="A349">
        <f t="shared" si="5"/>
        <v>348</v>
      </c>
      <c r="B349" s="40" t="s">
        <v>605</v>
      </c>
      <c r="C349" s="41" t="s">
        <v>2339</v>
      </c>
      <c r="D349" s="52" t="s">
        <v>2340</v>
      </c>
      <c r="E349" s="42" t="s">
        <v>2341</v>
      </c>
      <c r="F349" s="42" t="s">
        <v>2342</v>
      </c>
      <c r="G349" s="42" t="s">
        <v>2343</v>
      </c>
      <c r="H349" s="59" t="s">
        <v>2344</v>
      </c>
      <c r="I349" s="42" t="s">
        <v>622</v>
      </c>
      <c r="J349" s="42" t="s">
        <v>623</v>
      </c>
      <c r="K349" s="44" t="s">
        <v>614</v>
      </c>
      <c r="L349" s="52" t="s">
        <v>615</v>
      </c>
      <c r="M349" s="45"/>
      <c r="N349" s="46"/>
      <c r="O349" s="47"/>
      <c r="P349" s="57"/>
      <c r="Q349" s="63"/>
      <c r="R349" s="47"/>
      <c r="S349" s="50"/>
    </row>
    <row r="350" spans="1:20" ht="15" customHeight="1" x14ac:dyDescent="0.4">
      <c r="A350">
        <f t="shared" si="5"/>
        <v>349</v>
      </c>
      <c r="B350" s="40" t="s">
        <v>605</v>
      </c>
      <c r="C350" s="51" t="s">
        <v>327</v>
      </c>
      <c r="D350" s="52" t="s">
        <v>2340</v>
      </c>
      <c r="E350" s="53" t="s">
        <v>2341</v>
      </c>
      <c r="F350" s="53" t="s">
        <v>2345</v>
      </c>
      <c r="G350" s="53" t="s">
        <v>2346</v>
      </c>
      <c r="H350" s="53" t="s">
        <v>169</v>
      </c>
      <c r="I350" s="53" t="s">
        <v>622</v>
      </c>
      <c r="J350" s="52" t="s">
        <v>778</v>
      </c>
      <c r="K350" s="54" t="s">
        <v>614</v>
      </c>
      <c r="L350" s="52" t="s">
        <v>643</v>
      </c>
      <c r="M350" s="45"/>
      <c r="N350" s="46"/>
      <c r="O350" s="47"/>
      <c r="P350" s="57"/>
      <c r="Q350" s="63"/>
      <c r="R350" s="47"/>
      <c r="S350" s="50"/>
      <c r="T350" s="98"/>
    </row>
    <row r="351" spans="1:20" ht="15" customHeight="1" x14ac:dyDescent="0.4">
      <c r="A351">
        <f t="shared" si="5"/>
        <v>350</v>
      </c>
      <c r="B351" s="40" t="s">
        <v>605</v>
      </c>
      <c r="C351" s="51" t="s">
        <v>2347</v>
      </c>
      <c r="D351" s="52" t="s">
        <v>2348</v>
      </c>
      <c r="E351" s="52" t="s">
        <v>2349</v>
      </c>
      <c r="F351" s="52" t="s">
        <v>2350</v>
      </c>
      <c r="G351" s="52" t="s">
        <v>2351</v>
      </c>
      <c r="H351" s="53" t="s">
        <v>2352</v>
      </c>
      <c r="I351" s="52" t="s">
        <v>649</v>
      </c>
      <c r="J351" s="52" t="s">
        <v>684</v>
      </c>
      <c r="K351" s="52" t="s">
        <v>614</v>
      </c>
      <c r="L351" s="52" t="s">
        <v>615</v>
      </c>
      <c r="M351" s="62"/>
      <c r="N351" s="46"/>
      <c r="O351" s="47"/>
      <c r="P351" s="57"/>
      <c r="Q351" s="63"/>
      <c r="R351" s="47"/>
      <c r="S351" s="81"/>
    </row>
    <row r="352" spans="1:20" ht="15" customHeight="1" x14ac:dyDescent="0.4">
      <c r="A352">
        <f t="shared" si="5"/>
        <v>351</v>
      </c>
      <c r="B352" s="40" t="s">
        <v>605</v>
      </c>
      <c r="C352" s="51" t="s">
        <v>2353</v>
      </c>
      <c r="D352" s="52" t="s">
        <v>2348</v>
      </c>
      <c r="E352" s="53" t="s">
        <v>2354</v>
      </c>
      <c r="F352" s="53" t="s">
        <v>2355</v>
      </c>
      <c r="G352" s="53" t="s">
        <v>2356</v>
      </c>
      <c r="H352" s="60" t="s">
        <v>2357</v>
      </c>
      <c r="I352" s="52" t="s">
        <v>799</v>
      </c>
      <c r="J352" s="52" t="s">
        <v>751</v>
      </c>
      <c r="K352" s="54" t="s">
        <v>614</v>
      </c>
      <c r="L352" s="52" t="s">
        <v>615</v>
      </c>
      <c r="M352" s="45"/>
      <c r="N352" s="46"/>
      <c r="O352" s="47"/>
      <c r="P352" s="57"/>
      <c r="Q352" s="63"/>
      <c r="R352" s="47"/>
      <c r="S352" s="50"/>
    </row>
    <row r="353" spans="1:19" ht="15" customHeight="1" x14ac:dyDescent="0.4">
      <c r="A353">
        <f t="shared" si="5"/>
        <v>352</v>
      </c>
      <c r="B353" s="40" t="s">
        <v>605</v>
      </c>
      <c r="C353" s="51" t="s">
        <v>2358</v>
      </c>
      <c r="D353" s="52" t="s">
        <v>2359</v>
      </c>
      <c r="E353" s="53" t="s">
        <v>2360</v>
      </c>
      <c r="F353" s="53" t="s">
        <v>2361</v>
      </c>
      <c r="G353" s="53" t="s">
        <v>2362</v>
      </c>
      <c r="H353" s="75" t="s">
        <v>2363</v>
      </c>
      <c r="I353" s="44" t="s">
        <v>799</v>
      </c>
      <c r="J353" s="42" t="s">
        <v>751</v>
      </c>
      <c r="K353" s="52" t="s">
        <v>614</v>
      </c>
      <c r="L353" s="44" t="s">
        <v>643</v>
      </c>
      <c r="M353" s="45"/>
      <c r="N353" s="46"/>
      <c r="O353" s="47"/>
      <c r="P353" s="57"/>
      <c r="Q353" s="63"/>
      <c r="R353" s="47"/>
      <c r="S353" s="50"/>
    </row>
    <row r="354" spans="1:19" ht="15" customHeight="1" x14ac:dyDescent="0.4">
      <c r="A354">
        <f t="shared" si="5"/>
        <v>353</v>
      </c>
      <c r="B354" s="40" t="s">
        <v>605</v>
      </c>
      <c r="C354" s="51" t="s">
        <v>2364</v>
      </c>
      <c r="D354" s="53" t="s">
        <v>975</v>
      </c>
      <c r="E354" s="53" t="s">
        <v>921</v>
      </c>
      <c r="F354" s="53" t="s">
        <v>2365</v>
      </c>
      <c r="G354" s="53" t="s">
        <v>2366</v>
      </c>
      <c r="H354" s="53" t="s">
        <v>2367</v>
      </c>
      <c r="I354" s="52" t="s">
        <v>649</v>
      </c>
      <c r="J354" s="53" t="s">
        <v>669</v>
      </c>
      <c r="K354" s="54" t="s">
        <v>614</v>
      </c>
      <c r="L354" s="52" t="s">
        <v>615</v>
      </c>
      <c r="M354" s="45"/>
      <c r="N354" s="46"/>
      <c r="O354" s="47"/>
      <c r="P354" s="57"/>
      <c r="Q354" s="63"/>
      <c r="R354" s="47"/>
      <c r="S354" s="50"/>
    </row>
    <row r="355" spans="1:19" ht="15" customHeight="1" x14ac:dyDescent="0.4">
      <c r="A355">
        <f t="shared" si="5"/>
        <v>354</v>
      </c>
      <c r="B355" s="40" t="s">
        <v>605</v>
      </c>
      <c r="C355" s="51" t="s">
        <v>2368</v>
      </c>
      <c r="D355" s="52" t="s">
        <v>975</v>
      </c>
      <c r="E355" s="52" t="s">
        <v>1028</v>
      </c>
      <c r="F355" s="52" t="s">
        <v>1058</v>
      </c>
      <c r="G355" s="52" t="s">
        <v>2369</v>
      </c>
      <c r="H355" s="53" t="s">
        <v>2370</v>
      </c>
      <c r="I355" s="52" t="s">
        <v>630</v>
      </c>
      <c r="J355" s="52" t="s">
        <v>669</v>
      </c>
      <c r="K355" s="54" t="s">
        <v>614</v>
      </c>
      <c r="L355" s="52" t="s">
        <v>615</v>
      </c>
      <c r="M355" s="45"/>
      <c r="N355" s="46"/>
      <c r="O355" s="47"/>
      <c r="P355" s="57"/>
      <c r="Q355" s="63"/>
      <c r="R355" s="47"/>
      <c r="S355" s="50"/>
    </row>
    <row r="356" spans="1:19" ht="15" customHeight="1" x14ac:dyDescent="0.4">
      <c r="A356">
        <f t="shared" si="5"/>
        <v>355</v>
      </c>
      <c r="B356" s="40" t="s">
        <v>605</v>
      </c>
      <c r="C356" s="51" t="s">
        <v>2371</v>
      </c>
      <c r="D356" s="52" t="s">
        <v>975</v>
      </c>
      <c r="E356" s="52" t="s">
        <v>2372</v>
      </c>
      <c r="F356" s="52" t="s">
        <v>2373</v>
      </c>
      <c r="G356" s="52" t="s">
        <v>2374</v>
      </c>
      <c r="H356" s="82" t="s">
        <v>2375</v>
      </c>
      <c r="I356" s="52" t="s">
        <v>649</v>
      </c>
      <c r="J356" s="52" t="s">
        <v>669</v>
      </c>
      <c r="K356" s="52" t="s">
        <v>614</v>
      </c>
      <c r="L356" s="52" t="s">
        <v>615</v>
      </c>
      <c r="M356" s="45"/>
      <c r="N356" s="46"/>
      <c r="O356" s="47"/>
      <c r="P356" s="57"/>
      <c r="Q356" s="63"/>
      <c r="R356" s="47"/>
      <c r="S356" s="50"/>
    </row>
    <row r="357" spans="1:19" ht="15" customHeight="1" x14ac:dyDescent="0.4">
      <c r="A357">
        <f t="shared" si="5"/>
        <v>356</v>
      </c>
      <c r="B357" s="40" t="s">
        <v>605</v>
      </c>
      <c r="C357" s="51" t="s">
        <v>2376</v>
      </c>
      <c r="D357" s="52" t="s">
        <v>2377</v>
      </c>
      <c r="E357" s="52" t="s">
        <v>2378</v>
      </c>
      <c r="F357" s="52" t="s">
        <v>2379</v>
      </c>
      <c r="G357" s="52" t="s">
        <v>2380</v>
      </c>
      <c r="H357" s="60" t="s">
        <v>2381</v>
      </c>
      <c r="I357" s="52" t="s">
        <v>703</v>
      </c>
      <c r="J357" s="52" t="s">
        <v>642</v>
      </c>
      <c r="K357" s="52" t="s">
        <v>614</v>
      </c>
      <c r="L357" s="52" t="s">
        <v>615</v>
      </c>
      <c r="M357" s="45"/>
      <c r="N357" s="46"/>
      <c r="O357" s="47"/>
      <c r="P357" s="72"/>
      <c r="Q357" s="58"/>
      <c r="R357" s="47"/>
      <c r="S357" s="50"/>
    </row>
    <row r="358" spans="1:19" ht="15" customHeight="1" x14ac:dyDescent="0.4">
      <c r="A358">
        <f t="shared" si="5"/>
        <v>357</v>
      </c>
      <c r="B358" s="40" t="s">
        <v>605</v>
      </c>
      <c r="C358" s="41" t="s">
        <v>2382</v>
      </c>
      <c r="D358" s="42" t="s">
        <v>2383</v>
      </c>
      <c r="E358" s="42" t="s">
        <v>2384</v>
      </c>
      <c r="F358" s="42" t="s">
        <v>2385</v>
      </c>
      <c r="G358" s="42" t="s">
        <v>2386</v>
      </c>
      <c r="H358" s="59" t="s">
        <v>2387</v>
      </c>
      <c r="I358" s="42" t="s">
        <v>1032</v>
      </c>
      <c r="J358" s="42" t="s">
        <v>825</v>
      </c>
      <c r="K358" s="54" t="s">
        <v>614</v>
      </c>
      <c r="L358" s="42" t="s">
        <v>615</v>
      </c>
      <c r="M358" s="45"/>
      <c r="N358" s="46"/>
      <c r="O358" s="47"/>
      <c r="P358" s="57"/>
      <c r="Q358" s="63"/>
      <c r="R358" s="47"/>
      <c r="S358" s="50"/>
    </row>
    <row r="359" spans="1:19" ht="15" customHeight="1" x14ac:dyDescent="0.4">
      <c r="A359">
        <f t="shared" si="5"/>
        <v>358</v>
      </c>
      <c r="B359" s="40" t="s">
        <v>605</v>
      </c>
      <c r="C359" s="41" t="s">
        <v>2388</v>
      </c>
      <c r="D359" s="42" t="s">
        <v>633</v>
      </c>
      <c r="E359" s="42" t="s">
        <v>687</v>
      </c>
      <c r="F359" s="42" t="s">
        <v>2389</v>
      </c>
      <c r="G359" s="42" t="s">
        <v>2390</v>
      </c>
      <c r="H359" s="44" t="s">
        <v>2391</v>
      </c>
      <c r="I359" s="42" t="s">
        <v>630</v>
      </c>
      <c r="J359" s="42" t="s">
        <v>664</v>
      </c>
      <c r="K359" s="52" t="s">
        <v>614</v>
      </c>
      <c r="L359" s="42" t="s">
        <v>615</v>
      </c>
      <c r="M359" s="45"/>
      <c r="N359" s="46"/>
      <c r="O359" s="47"/>
      <c r="P359" s="57"/>
      <c r="Q359" s="63"/>
      <c r="R359" s="47"/>
      <c r="S359" s="81"/>
    </row>
    <row r="360" spans="1:19" ht="15" customHeight="1" x14ac:dyDescent="0.4">
      <c r="A360">
        <f t="shared" si="5"/>
        <v>359</v>
      </c>
      <c r="B360" s="40" t="s">
        <v>605</v>
      </c>
      <c r="C360" s="41" t="s">
        <v>2392</v>
      </c>
      <c r="D360" s="42" t="s">
        <v>633</v>
      </c>
      <c r="E360" s="42" t="s">
        <v>1048</v>
      </c>
      <c r="F360" s="42" t="s">
        <v>2393</v>
      </c>
      <c r="G360" s="42" t="s">
        <v>2394</v>
      </c>
      <c r="H360" s="44" t="s">
        <v>2395</v>
      </c>
      <c r="I360" s="52" t="s">
        <v>768</v>
      </c>
      <c r="J360" s="52" t="s">
        <v>704</v>
      </c>
      <c r="K360" s="52" t="s">
        <v>614</v>
      </c>
      <c r="L360" s="52" t="s">
        <v>615</v>
      </c>
      <c r="M360" s="139"/>
      <c r="N360" s="46"/>
      <c r="O360" s="47"/>
      <c r="P360" s="57"/>
      <c r="Q360" s="63"/>
      <c r="R360" s="47"/>
      <c r="S360" s="81"/>
    </row>
    <row r="361" spans="1:19" ht="15" customHeight="1" x14ac:dyDescent="0.4">
      <c r="A361">
        <f t="shared" si="5"/>
        <v>360</v>
      </c>
      <c r="B361" s="40" t="s">
        <v>605</v>
      </c>
      <c r="C361" s="41" t="s">
        <v>2396</v>
      </c>
      <c r="D361" s="44" t="s">
        <v>633</v>
      </c>
      <c r="E361" s="44" t="s">
        <v>1012</v>
      </c>
      <c r="F361" s="44" t="s">
        <v>1663</v>
      </c>
      <c r="G361" s="44" t="s">
        <v>2397</v>
      </c>
      <c r="H361" s="43" t="s">
        <v>2398</v>
      </c>
      <c r="I361" s="44" t="s">
        <v>799</v>
      </c>
      <c r="J361" s="42" t="s">
        <v>669</v>
      </c>
      <c r="K361" s="54" t="s">
        <v>614</v>
      </c>
      <c r="L361" s="44" t="s">
        <v>643</v>
      </c>
      <c r="M361" s="108"/>
      <c r="N361" s="40"/>
      <c r="O361" s="47"/>
      <c r="P361" s="57"/>
      <c r="Q361" s="63"/>
      <c r="R361" s="47"/>
      <c r="S361" s="50"/>
    </row>
    <row r="362" spans="1:19" ht="15" customHeight="1" x14ac:dyDescent="0.4">
      <c r="A362">
        <f t="shared" si="5"/>
        <v>361</v>
      </c>
      <c r="B362" s="40" t="s">
        <v>605</v>
      </c>
      <c r="C362" s="41" t="s">
        <v>2399</v>
      </c>
      <c r="D362" s="42" t="s">
        <v>716</v>
      </c>
      <c r="E362" s="42" t="s">
        <v>2400</v>
      </c>
      <c r="F362" s="42" t="s">
        <v>2401</v>
      </c>
      <c r="G362" s="42" t="s">
        <v>2402</v>
      </c>
      <c r="H362" s="90" t="s">
        <v>2403</v>
      </c>
      <c r="I362" s="52" t="s">
        <v>622</v>
      </c>
      <c r="J362" s="53" t="s">
        <v>684</v>
      </c>
      <c r="K362" s="54" t="s">
        <v>614</v>
      </c>
      <c r="L362" s="52" t="s">
        <v>615</v>
      </c>
      <c r="M362" s="112"/>
      <c r="N362" s="46"/>
      <c r="O362" s="47"/>
      <c r="P362" s="57"/>
      <c r="Q362" s="63"/>
      <c r="R362" s="47"/>
      <c r="S362" s="50"/>
    </row>
    <row r="363" spans="1:19" ht="15" customHeight="1" x14ac:dyDescent="0.4">
      <c r="A363">
        <f t="shared" si="5"/>
        <v>362</v>
      </c>
      <c r="B363" s="40" t="s">
        <v>605</v>
      </c>
      <c r="C363" s="51" t="s">
        <v>2404</v>
      </c>
      <c r="D363" s="52" t="s">
        <v>2405</v>
      </c>
      <c r="E363" s="52" t="s">
        <v>2406</v>
      </c>
      <c r="F363" s="52" t="s">
        <v>2407</v>
      </c>
      <c r="G363" s="52" t="s">
        <v>2408</v>
      </c>
      <c r="H363" s="59" t="s">
        <v>2409</v>
      </c>
      <c r="I363" s="52" t="s">
        <v>641</v>
      </c>
      <c r="J363" s="52" t="s">
        <v>836</v>
      </c>
      <c r="K363" s="52" t="s">
        <v>614</v>
      </c>
      <c r="L363" s="52" t="s">
        <v>643</v>
      </c>
      <c r="M363" s="45"/>
      <c r="N363" s="46"/>
      <c r="O363" s="47"/>
      <c r="P363" s="57"/>
      <c r="Q363" s="63"/>
      <c r="R363" s="47"/>
      <c r="S363" s="81"/>
    </row>
    <row r="364" spans="1:19" ht="15" customHeight="1" x14ac:dyDescent="0.4">
      <c r="A364">
        <f t="shared" si="5"/>
        <v>363</v>
      </c>
      <c r="B364" s="40" t="s">
        <v>605</v>
      </c>
      <c r="C364" s="51" t="s">
        <v>2410</v>
      </c>
      <c r="D364" s="52" t="s">
        <v>716</v>
      </c>
      <c r="E364" s="52" t="s">
        <v>1028</v>
      </c>
      <c r="F364" s="52" t="s">
        <v>2411</v>
      </c>
      <c r="G364" s="52" t="s">
        <v>2412</v>
      </c>
      <c r="H364" s="43" t="s">
        <v>2413</v>
      </c>
      <c r="I364" s="52" t="s">
        <v>649</v>
      </c>
      <c r="J364" s="52" t="s">
        <v>613</v>
      </c>
      <c r="K364" s="54" t="s">
        <v>614</v>
      </c>
      <c r="L364" s="52" t="s">
        <v>615</v>
      </c>
      <c r="M364" s="45"/>
      <c r="N364" s="46"/>
      <c r="O364" s="47"/>
      <c r="P364" s="57"/>
      <c r="Q364" s="63"/>
      <c r="R364" s="47"/>
      <c r="S364" s="50"/>
    </row>
    <row r="365" spans="1:19" ht="15" customHeight="1" x14ac:dyDescent="0.4">
      <c r="A365">
        <f t="shared" si="5"/>
        <v>364</v>
      </c>
      <c r="B365" s="40" t="s">
        <v>605</v>
      </c>
      <c r="C365" s="51" t="s">
        <v>2414</v>
      </c>
      <c r="D365" s="53" t="s">
        <v>716</v>
      </c>
      <c r="E365" s="53" t="s">
        <v>1151</v>
      </c>
      <c r="F365" s="53" t="s">
        <v>2415</v>
      </c>
      <c r="G365" s="53" t="s">
        <v>2416</v>
      </c>
      <c r="H365" s="53" t="s">
        <v>2417</v>
      </c>
      <c r="I365" s="53" t="s">
        <v>703</v>
      </c>
      <c r="J365" s="52" t="s">
        <v>637</v>
      </c>
      <c r="K365" s="53" t="s">
        <v>614</v>
      </c>
      <c r="L365" s="52" t="s">
        <v>615</v>
      </c>
      <c r="M365" s="45"/>
      <c r="N365" s="46"/>
      <c r="O365" s="47"/>
      <c r="P365" s="57"/>
      <c r="Q365" s="63"/>
      <c r="R365" s="47"/>
      <c r="S365" s="50"/>
    </row>
    <row r="366" spans="1:19" ht="15" customHeight="1" x14ac:dyDescent="0.4">
      <c r="A366">
        <f t="shared" si="5"/>
        <v>365</v>
      </c>
      <c r="B366" s="40" t="s">
        <v>605</v>
      </c>
      <c r="C366" s="41" t="s">
        <v>2418</v>
      </c>
      <c r="D366" s="52" t="s">
        <v>716</v>
      </c>
      <c r="E366" s="42" t="s">
        <v>2419</v>
      </c>
      <c r="F366" s="42" t="s">
        <v>2420</v>
      </c>
      <c r="G366" s="42" t="s">
        <v>2421</v>
      </c>
      <c r="H366" s="59" t="s">
        <v>2422</v>
      </c>
      <c r="I366" s="42" t="s">
        <v>649</v>
      </c>
      <c r="J366" s="42" t="s">
        <v>704</v>
      </c>
      <c r="K366" s="44" t="s">
        <v>614</v>
      </c>
      <c r="L366" s="52" t="s">
        <v>615</v>
      </c>
      <c r="M366" s="45"/>
      <c r="N366" s="46"/>
      <c r="O366" s="47"/>
      <c r="P366" s="57"/>
      <c r="Q366" s="63"/>
      <c r="R366" s="47"/>
      <c r="S366" s="50"/>
    </row>
    <row r="367" spans="1:19" ht="15" customHeight="1" x14ac:dyDescent="0.4">
      <c r="A367">
        <f t="shared" si="5"/>
        <v>366</v>
      </c>
      <c r="B367" s="40" t="s">
        <v>605</v>
      </c>
      <c r="C367" s="51" t="s">
        <v>2423</v>
      </c>
      <c r="D367" s="52" t="s">
        <v>716</v>
      </c>
      <c r="E367" s="52" t="s">
        <v>699</v>
      </c>
      <c r="F367" s="52" t="s">
        <v>2424</v>
      </c>
      <c r="G367" s="52" t="s">
        <v>2425</v>
      </c>
      <c r="H367" s="53" t="s">
        <v>2426</v>
      </c>
      <c r="I367" s="52" t="s">
        <v>703</v>
      </c>
      <c r="J367" s="52" t="s">
        <v>763</v>
      </c>
      <c r="K367" s="44" t="s">
        <v>614</v>
      </c>
      <c r="L367" s="52" t="s">
        <v>615</v>
      </c>
      <c r="M367" s="56"/>
      <c r="N367" s="46"/>
      <c r="O367" s="47"/>
      <c r="P367" s="57"/>
      <c r="Q367" s="63"/>
      <c r="R367" s="47"/>
      <c r="S367" s="50"/>
    </row>
    <row r="368" spans="1:19" ht="15" customHeight="1" x14ac:dyDescent="0.4">
      <c r="A368">
        <f t="shared" si="5"/>
        <v>367</v>
      </c>
      <c r="B368" s="40" t="s">
        <v>605</v>
      </c>
      <c r="C368" s="51" t="s">
        <v>2427</v>
      </c>
      <c r="D368" s="52" t="s">
        <v>716</v>
      </c>
      <c r="E368" s="52" t="s">
        <v>699</v>
      </c>
      <c r="F368" s="52" t="s">
        <v>1749</v>
      </c>
      <c r="G368" s="52" t="s">
        <v>2428</v>
      </c>
      <c r="H368" s="53" t="s">
        <v>2429</v>
      </c>
      <c r="I368" s="52" t="s">
        <v>641</v>
      </c>
      <c r="J368" s="53" t="s">
        <v>728</v>
      </c>
      <c r="K368" s="44" t="s">
        <v>614</v>
      </c>
      <c r="L368" s="52" t="s">
        <v>615</v>
      </c>
      <c r="M368" s="56"/>
      <c r="N368" s="46"/>
      <c r="O368" s="47"/>
      <c r="P368" s="57"/>
      <c r="Q368" s="63"/>
      <c r="R368" s="47"/>
      <c r="S368" s="50"/>
    </row>
    <row r="369" spans="1:19" ht="15" customHeight="1" x14ac:dyDescent="0.4">
      <c r="A369">
        <f t="shared" si="5"/>
        <v>368</v>
      </c>
      <c r="B369" s="40" t="s">
        <v>605</v>
      </c>
      <c r="C369" s="51" t="s">
        <v>2430</v>
      </c>
      <c r="D369" s="53" t="s">
        <v>716</v>
      </c>
      <c r="E369" s="53" t="s">
        <v>699</v>
      </c>
      <c r="F369" s="53" t="s">
        <v>2431</v>
      </c>
      <c r="G369" s="53" t="s">
        <v>2432</v>
      </c>
      <c r="H369" s="60" t="s">
        <v>2433</v>
      </c>
      <c r="I369" s="52" t="s">
        <v>622</v>
      </c>
      <c r="J369" s="53" t="s">
        <v>676</v>
      </c>
      <c r="K369" s="54" t="s">
        <v>614</v>
      </c>
      <c r="L369" s="52" t="s">
        <v>615</v>
      </c>
      <c r="M369" s="56"/>
      <c r="N369" s="46"/>
      <c r="O369" s="47"/>
      <c r="P369" s="57"/>
      <c r="Q369" s="63"/>
      <c r="R369" s="47"/>
      <c r="S369" s="50"/>
    </row>
    <row r="370" spans="1:19" ht="15" customHeight="1" x14ac:dyDescent="0.4">
      <c r="A370">
        <f t="shared" si="5"/>
        <v>369</v>
      </c>
      <c r="B370" s="40" t="s">
        <v>605</v>
      </c>
      <c r="C370" s="51" t="s">
        <v>2434</v>
      </c>
      <c r="D370" s="52" t="s">
        <v>716</v>
      </c>
      <c r="E370" s="52" t="s">
        <v>963</v>
      </c>
      <c r="F370" s="52" t="s">
        <v>2435</v>
      </c>
      <c r="G370" s="52" t="s">
        <v>2436</v>
      </c>
      <c r="H370" s="53" t="s">
        <v>2437</v>
      </c>
      <c r="I370" s="52" t="s">
        <v>641</v>
      </c>
      <c r="J370" s="53" t="s">
        <v>650</v>
      </c>
      <c r="K370" s="54" t="s">
        <v>614</v>
      </c>
      <c r="L370" s="52" t="s">
        <v>643</v>
      </c>
      <c r="M370" s="56"/>
      <c r="N370" s="46"/>
      <c r="O370" s="47"/>
      <c r="P370" s="57"/>
      <c r="Q370" s="63"/>
      <c r="R370" s="47"/>
      <c r="S370" s="50"/>
    </row>
    <row r="371" spans="1:19" ht="15" customHeight="1" x14ac:dyDescent="0.4">
      <c r="A371">
        <f t="shared" si="5"/>
        <v>370</v>
      </c>
      <c r="B371" s="40" t="s">
        <v>605</v>
      </c>
      <c r="C371" s="51" t="s">
        <v>2438</v>
      </c>
      <c r="D371" s="53" t="s">
        <v>716</v>
      </c>
      <c r="E371" s="53" t="s">
        <v>2439</v>
      </c>
      <c r="F371" s="53" t="s">
        <v>2440</v>
      </c>
      <c r="G371" s="53" t="s">
        <v>2441</v>
      </c>
      <c r="H371" s="43" t="s">
        <v>2442</v>
      </c>
      <c r="I371" s="53" t="s">
        <v>720</v>
      </c>
      <c r="J371" s="53" t="s">
        <v>728</v>
      </c>
      <c r="K371" s="54" t="s">
        <v>614</v>
      </c>
      <c r="L371" s="52" t="s">
        <v>615</v>
      </c>
      <c r="M371" s="45"/>
      <c r="N371" s="46"/>
      <c r="O371" s="47"/>
      <c r="P371" s="57"/>
      <c r="Q371" s="63"/>
      <c r="R371" s="47"/>
      <c r="S371" s="50"/>
    </row>
    <row r="372" spans="1:19" ht="15" customHeight="1" x14ac:dyDescent="0.4">
      <c r="A372">
        <f t="shared" si="5"/>
        <v>371</v>
      </c>
      <c r="B372" s="40" t="s">
        <v>605</v>
      </c>
      <c r="C372" s="51" t="s">
        <v>2443</v>
      </c>
      <c r="D372" s="52" t="s">
        <v>716</v>
      </c>
      <c r="E372" s="52" t="s">
        <v>1795</v>
      </c>
      <c r="F372" s="52" t="s">
        <v>2444</v>
      </c>
      <c r="G372" s="52" t="s">
        <v>2445</v>
      </c>
      <c r="H372" s="53" t="s">
        <v>2446</v>
      </c>
      <c r="I372" s="52" t="s">
        <v>649</v>
      </c>
      <c r="J372" s="52" t="s">
        <v>613</v>
      </c>
      <c r="K372" s="52" t="s">
        <v>614</v>
      </c>
      <c r="L372" s="52" t="s">
        <v>615</v>
      </c>
      <c r="M372" s="56"/>
      <c r="N372" s="46"/>
      <c r="O372" s="47"/>
      <c r="P372" s="57"/>
      <c r="Q372" s="63"/>
      <c r="R372" s="47"/>
      <c r="S372" s="50"/>
    </row>
    <row r="373" spans="1:19" ht="15" customHeight="1" x14ac:dyDescent="0.4">
      <c r="A373">
        <f t="shared" si="5"/>
        <v>372</v>
      </c>
      <c r="B373" s="40" t="s">
        <v>605</v>
      </c>
      <c r="C373" s="41" t="s">
        <v>2447</v>
      </c>
      <c r="D373" s="52" t="s">
        <v>716</v>
      </c>
      <c r="E373" s="42" t="s">
        <v>2448</v>
      </c>
      <c r="F373" s="42" t="s">
        <v>2449</v>
      </c>
      <c r="G373" s="42" t="s">
        <v>2450</v>
      </c>
      <c r="H373" s="59" t="s">
        <v>2451</v>
      </c>
      <c r="I373" s="42" t="s">
        <v>1026</v>
      </c>
      <c r="J373" s="42" t="s">
        <v>697</v>
      </c>
      <c r="K373" s="44" t="s">
        <v>614</v>
      </c>
      <c r="L373" s="52" t="s">
        <v>615</v>
      </c>
      <c r="M373" s="45"/>
      <c r="N373" s="46"/>
      <c r="O373" s="47"/>
      <c r="P373" s="57"/>
      <c r="Q373" s="63"/>
      <c r="R373" s="47"/>
      <c r="S373" s="50"/>
    </row>
    <row r="374" spans="1:19" ht="15" customHeight="1" x14ac:dyDescent="0.4">
      <c r="A374">
        <f t="shared" si="5"/>
        <v>373</v>
      </c>
      <c r="B374" s="40" t="s">
        <v>605</v>
      </c>
      <c r="C374" s="51" t="s">
        <v>2452</v>
      </c>
      <c r="D374" s="52" t="s">
        <v>716</v>
      </c>
      <c r="E374" s="52" t="s">
        <v>2453</v>
      </c>
      <c r="F374" s="52" t="s">
        <v>2454</v>
      </c>
      <c r="G374" s="52" t="s">
        <v>2455</v>
      </c>
      <c r="H374" s="60" t="s">
        <v>2456</v>
      </c>
      <c r="I374" s="52" t="s">
        <v>703</v>
      </c>
      <c r="J374" s="52" t="s">
        <v>721</v>
      </c>
      <c r="K374" s="52" t="s">
        <v>614</v>
      </c>
      <c r="L374" s="52" t="s">
        <v>615</v>
      </c>
      <c r="M374" s="45"/>
      <c r="N374" s="46"/>
      <c r="O374" s="47"/>
      <c r="P374" s="57"/>
      <c r="Q374" s="63"/>
      <c r="R374" s="47"/>
      <c r="S374" s="50"/>
    </row>
    <row r="375" spans="1:19" ht="15" customHeight="1" x14ac:dyDescent="0.4">
      <c r="A375">
        <f t="shared" si="5"/>
        <v>374</v>
      </c>
      <c r="B375" s="40" t="s">
        <v>605</v>
      </c>
      <c r="C375" s="143" t="s">
        <v>390</v>
      </c>
      <c r="D375" s="144" t="s">
        <v>716</v>
      </c>
      <c r="E375" s="144" t="s">
        <v>2457</v>
      </c>
      <c r="F375" s="145" t="s">
        <v>2458</v>
      </c>
      <c r="G375" s="145" t="s">
        <v>2459</v>
      </c>
      <c r="H375" s="146" t="s">
        <v>124</v>
      </c>
      <c r="I375" s="116" t="s">
        <v>641</v>
      </c>
      <c r="J375" s="116" t="s">
        <v>778</v>
      </c>
      <c r="K375" s="44" t="s">
        <v>614</v>
      </c>
      <c r="L375" s="116" t="s">
        <v>643</v>
      </c>
      <c r="M375" s="45"/>
      <c r="N375" s="46"/>
      <c r="O375" s="47"/>
      <c r="P375" s="57"/>
      <c r="Q375" s="63"/>
      <c r="R375" s="47"/>
      <c r="S375" s="50"/>
    </row>
    <row r="376" spans="1:19" ht="15" customHeight="1" x14ac:dyDescent="0.4">
      <c r="A376">
        <f t="shared" si="5"/>
        <v>375</v>
      </c>
      <c r="B376" s="40" t="s">
        <v>605</v>
      </c>
      <c r="C376" s="41" t="s">
        <v>2460</v>
      </c>
      <c r="D376" s="52" t="s">
        <v>2461</v>
      </c>
      <c r="E376" s="42" t="s">
        <v>2462</v>
      </c>
      <c r="F376" s="42" t="s">
        <v>2463</v>
      </c>
      <c r="G376" s="42" t="s">
        <v>2464</v>
      </c>
      <c r="H376" s="59" t="s">
        <v>2465</v>
      </c>
      <c r="I376" s="42" t="s">
        <v>622</v>
      </c>
      <c r="J376" s="42" t="s">
        <v>704</v>
      </c>
      <c r="K376" s="52" t="s">
        <v>614</v>
      </c>
      <c r="L376" s="52" t="s">
        <v>615</v>
      </c>
      <c r="M376" s="45"/>
      <c r="N376" s="46"/>
      <c r="O376" s="47"/>
      <c r="P376" s="57"/>
      <c r="Q376" s="63"/>
      <c r="R376" s="47"/>
      <c r="S376" s="50"/>
    </row>
    <row r="377" spans="1:19" ht="15" customHeight="1" x14ac:dyDescent="0.4">
      <c r="A377">
        <f t="shared" si="5"/>
        <v>376</v>
      </c>
      <c r="B377" s="40" t="s">
        <v>605</v>
      </c>
      <c r="C377" s="41" t="s">
        <v>2466</v>
      </c>
      <c r="D377" s="42" t="s">
        <v>2461</v>
      </c>
      <c r="E377" s="42" t="s">
        <v>2467</v>
      </c>
      <c r="F377" s="42" t="s">
        <v>2468</v>
      </c>
      <c r="G377" s="42" t="s">
        <v>2469</v>
      </c>
      <c r="H377" s="61" t="s">
        <v>2470</v>
      </c>
      <c r="I377" s="42" t="s">
        <v>649</v>
      </c>
      <c r="J377" s="42" t="s">
        <v>676</v>
      </c>
      <c r="K377" s="44" t="s">
        <v>614</v>
      </c>
      <c r="L377" s="42" t="s">
        <v>615</v>
      </c>
      <c r="M377" s="62"/>
      <c r="N377" s="46"/>
      <c r="O377" s="47"/>
      <c r="P377" s="72"/>
      <c r="Q377" s="58"/>
      <c r="R377" s="47"/>
      <c r="S377" s="50"/>
    </row>
    <row r="378" spans="1:19" ht="15" customHeight="1" x14ac:dyDescent="0.4">
      <c r="A378">
        <f t="shared" si="5"/>
        <v>377</v>
      </c>
      <c r="B378" s="40" t="s">
        <v>605</v>
      </c>
      <c r="C378" s="41" t="s">
        <v>2471</v>
      </c>
      <c r="D378" s="42" t="s">
        <v>2472</v>
      </c>
      <c r="E378" s="42" t="s">
        <v>1823</v>
      </c>
      <c r="F378" s="42" t="s">
        <v>2473</v>
      </c>
      <c r="G378" s="44" t="s">
        <v>2474</v>
      </c>
      <c r="H378" s="82" t="s">
        <v>2475</v>
      </c>
      <c r="I378" s="44" t="s">
        <v>641</v>
      </c>
      <c r="J378" s="44" t="s">
        <v>637</v>
      </c>
      <c r="K378" s="52" t="s">
        <v>614</v>
      </c>
      <c r="L378" s="52" t="s">
        <v>643</v>
      </c>
      <c r="M378" s="62"/>
      <c r="N378" s="46"/>
      <c r="O378" s="47"/>
      <c r="P378" s="57"/>
      <c r="Q378" s="63"/>
      <c r="R378" s="47"/>
      <c r="S378" s="50"/>
    </row>
    <row r="379" spans="1:19" ht="15" customHeight="1" x14ac:dyDescent="0.4">
      <c r="A379">
        <f t="shared" si="5"/>
        <v>378</v>
      </c>
      <c r="B379" s="40" t="s">
        <v>605</v>
      </c>
      <c r="C379" s="51" t="s">
        <v>453</v>
      </c>
      <c r="D379" s="53" t="s">
        <v>2476</v>
      </c>
      <c r="E379" s="53" t="s">
        <v>2476</v>
      </c>
      <c r="F379" s="53" t="s">
        <v>2477</v>
      </c>
      <c r="G379" s="53" t="s">
        <v>2478</v>
      </c>
      <c r="H379" s="43" t="s">
        <v>153</v>
      </c>
      <c r="I379" s="53" t="s">
        <v>2479</v>
      </c>
      <c r="J379" s="53" t="s">
        <v>778</v>
      </c>
      <c r="K379" s="44" t="s">
        <v>614</v>
      </c>
      <c r="L379" s="52" t="s">
        <v>615</v>
      </c>
      <c r="M379" s="56"/>
      <c r="N379" s="46"/>
      <c r="O379" s="47"/>
      <c r="P379" s="57"/>
      <c r="Q379" s="63"/>
      <c r="R379" s="47"/>
      <c r="S379" s="50"/>
    </row>
    <row r="380" spans="1:19" ht="15" customHeight="1" x14ac:dyDescent="0.4">
      <c r="A380">
        <f t="shared" si="5"/>
        <v>379</v>
      </c>
      <c r="B380" s="40" t="s">
        <v>605</v>
      </c>
      <c r="C380" s="51" t="s">
        <v>2480</v>
      </c>
      <c r="D380" s="53" t="s">
        <v>2481</v>
      </c>
      <c r="E380" s="53" t="s">
        <v>2406</v>
      </c>
      <c r="F380" s="53" t="s">
        <v>712</v>
      </c>
      <c r="G380" s="53" t="s">
        <v>2482</v>
      </c>
      <c r="H380" s="43" t="s">
        <v>2483</v>
      </c>
      <c r="I380" s="52" t="s">
        <v>799</v>
      </c>
      <c r="J380" s="53" t="s">
        <v>697</v>
      </c>
      <c r="K380" s="52" t="s">
        <v>614</v>
      </c>
      <c r="L380" s="52" t="s">
        <v>643</v>
      </c>
      <c r="M380" s="56"/>
      <c r="N380" s="46"/>
      <c r="O380" s="47"/>
      <c r="P380" s="57"/>
      <c r="Q380" s="63"/>
      <c r="R380" s="47"/>
      <c r="S380" s="50"/>
    </row>
    <row r="381" spans="1:19" ht="15" customHeight="1" x14ac:dyDescent="0.4">
      <c r="A381">
        <f t="shared" si="5"/>
        <v>380</v>
      </c>
      <c r="B381" s="40" t="s">
        <v>605</v>
      </c>
      <c r="C381" s="41" t="s">
        <v>2484</v>
      </c>
      <c r="D381" s="42" t="s">
        <v>2485</v>
      </c>
      <c r="E381" s="42" t="s">
        <v>2486</v>
      </c>
      <c r="F381" s="44" t="s">
        <v>2487</v>
      </c>
      <c r="G381" s="44" t="s">
        <v>2488</v>
      </c>
      <c r="H381" s="82" t="s">
        <v>2489</v>
      </c>
      <c r="I381" s="44" t="s">
        <v>1026</v>
      </c>
      <c r="J381" s="44" t="s">
        <v>676</v>
      </c>
      <c r="K381" s="44" t="s">
        <v>614</v>
      </c>
      <c r="L381" s="52" t="s">
        <v>615</v>
      </c>
      <c r="M381" s="56"/>
      <c r="N381" s="46"/>
      <c r="O381" s="47"/>
      <c r="P381" s="57"/>
      <c r="Q381" s="63"/>
      <c r="R381" s="47"/>
      <c r="S381" s="50"/>
    </row>
    <row r="382" spans="1:19" ht="15" customHeight="1" x14ac:dyDescent="0.4">
      <c r="A382">
        <f t="shared" si="5"/>
        <v>381</v>
      </c>
      <c r="B382" s="40" t="s">
        <v>605</v>
      </c>
      <c r="C382" s="51" t="s">
        <v>2490</v>
      </c>
      <c r="D382" s="52" t="s">
        <v>1147</v>
      </c>
      <c r="E382" s="52" t="s">
        <v>1723</v>
      </c>
      <c r="F382" s="52" t="s">
        <v>1622</v>
      </c>
      <c r="G382" s="52" t="s">
        <v>2491</v>
      </c>
      <c r="H382" s="60" t="s">
        <v>2492</v>
      </c>
      <c r="I382" s="52" t="s">
        <v>1123</v>
      </c>
      <c r="J382" s="52" t="s">
        <v>825</v>
      </c>
      <c r="K382" s="52" t="s">
        <v>614</v>
      </c>
      <c r="L382" s="52" t="s">
        <v>643</v>
      </c>
      <c r="M382" s="80"/>
      <c r="N382" s="46"/>
      <c r="O382" s="47"/>
      <c r="P382" s="57"/>
      <c r="Q382" s="63"/>
      <c r="R382" s="47"/>
      <c r="S382" s="50"/>
    </row>
    <row r="383" spans="1:19" ht="15" customHeight="1" x14ac:dyDescent="0.4">
      <c r="A383">
        <f t="shared" si="5"/>
        <v>382</v>
      </c>
      <c r="B383" s="40" t="s">
        <v>605</v>
      </c>
      <c r="C383" s="51" t="s">
        <v>2493</v>
      </c>
      <c r="D383" s="52" t="s">
        <v>68</v>
      </c>
      <c r="E383" s="52" t="s">
        <v>742</v>
      </c>
      <c r="F383" s="52" t="s">
        <v>2494</v>
      </c>
      <c r="G383" s="52" t="s">
        <v>2495</v>
      </c>
      <c r="H383" s="53" t="s">
        <v>2496</v>
      </c>
      <c r="I383" s="52" t="s">
        <v>649</v>
      </c>
      <c r="J383" s="52" t="s">
        <v>697</v>
      </c>
      <c r="K383" s="44" t="s">
        <v>614</v>
      </c>
      <c r="L383" s="52" t="s">
        <v>615</v>
      </c>
      <c r="M383" s="62"/>
      <c r="N383" s="46"/>
      <c r="O383" s="47"/>
      <c r="P383" s="57"/>
      <c r="Q383" s="63"/>
      <c r="R383" s="47"/>
      <c r="S383" s="50"/>
    </row>
    <row r="384" spans="1:19" ht="15" customHeight="1" x14ac:dyDescent="0.4">
      <c r="A384">
        <f t="shared" si="5"/>
        <v>383</v>
      </c>
      <c r="B384" s="40" t="s">
        <v>605</v>
      </c>
      <c r="C384" s="51" t="s">
        <v>2497</v>
      </c>
      <c r="D384" s="52" t="s">
        <v>1337</v>
      </c>
      <c r="E384" s="52" t="s">
        <v>1331</v>
      </c>
      <c r="F384" s="52" t="s">
        <v>2498</v>
      </c>
      <c r="G384" s="52" t="s">
        <v>2499</v>
      </c>
      <c r="H384" s="82" t="s">
        <v>2500</v>
      </c>
      <c r="I384" s="52" t="s">
        <v>683</v>
      </c>
      <c r="J384" s="52" t="s">
        <v>613</v>
      </c>
      <c r="K384" s="52" t="s">
        <v>614</v>
      </c>
      <c r="L384" s="52" t="s">
        <v>615</v>
      </c>
      <c r="M384" s="56"/>
      <c r="N384" s="46"/>
      <c r="O384" s="47"/>
      <c r="P384" s="57"/>
      <c r="Q384" s="63"/>
      <c r="R384" s="47"/>
      <c r="S384" s="50"/>
    </row>
    <row r="385" spans="1:20" ht="15" customHeight="1" x14ac:dyDescent="0.4">
      <c r="A385">
        <f t="shared" si="5"/>
        <v>384</v>
      </c>
      <c r="B385" s="40" t="s">
        <v>605</v>
      </c>
      <c r="C385" s="51" t="s">
        <v>2501</v>
      </c>
      <c r="D385" s="52" t="s">
        <v>693</v>
      </c>
      <c r="E385" s="52" t="s">
        <v>1888</v>
      </c>
      <c r="F385" s="52" t="s">
        <v>2502</v>
      </c>
      <c r="G385" s="52" t="s">
        <v>2503</v>
      </c>
      <c r="H385" s="60" t="s">
        <v>2504</v>
      </c>
      <c r="I385" s="52" t="s">
        <v>1032</v>
      </c>
      <c r="J385" s="52" t="s">
        <v>735</v>
      </c>
      <c r="K385" s="44" t="s">
        <v>614</v>
      </c>
      <c r="L385" s="52" t="s">
        <v>615</v>
      </c>
      <c r="M385" s="56"/>
      <c r="N385" s="46"/>
      <c r="O385" s="47"/>
      <c r="P385" s="57"/>
      <c r="Q385" s="63"/>
      <c r="R385" s="47"/>
      <c r="S385" s="50"/>
    </row>
    <row r="386" spans="1:20" ht="15" customHeight="1" x14ac:dyDescent="0.4">
      <c r="A386">
        <f t="shared" si="5"/>
        <v>385</v>
      </c>
      <c r="B386" s="40" t="s">
        <v>605</v>
      </c>
      <c r="C386" s="51" t="s">
        <v>2505</v>
      </c>
      <c r="D386" s="52" t="s">
        <v>1612</v>
      </c>
      <c r="E386" s="52" t="s">
        <v>1612</v>
      </c>
      <c r="F386" s="52" t="s">
        <v>2506</v>
      </c>
      <c r="G386" s="52" t="s">
        <v>2507</v>
      </c>
      <c r="H386" s="43" t="s">
        <v>2508</v>
      </c>
      <c r="I386" s="52" t="s">
        <v>799</v>
      </c>
      <c r="J386" s="52" t="s">
        <v>684</v>
      </c>
      <c r="K386" s="52" t="s">
        <v>614</v>
      </c>
      <c r="L386" s="52" t="s">
        <v>615</v>
      </c>
      <c r="M386" s="45"/>
      <c r="N386" s="118"/>
      <c r="O386" s="52"/>
      <c r="P386" s="57"/>
      <c r="Q386" s="63"/>
      <c r="R386" s="47"/>
      <c r="S386" s="74"/>
      <c r="T386" s="33"/>
    </row>
    <row r="387" spans="1:20" ht="15" customHeight="1" x14ac:dyDescent="0.4">
      <c r="A387">
        <f t="shared" si="5"/>
        <v>386</v>
      </c>
      <c r="B387" s="40" t="s">
        <v>605</v>
      </c>
      <c r="C387" s="84" t="s">
        <v>2509</v>
      </c>
      <c r="D387" s="85" t="s">
        <v>2510</v>
      </c>
      <c r="E387" s="85" t="s">
        <v>1028</v>
      </c>
      <c r="F387" s="85" t="s">
        <v>2511</v>
      </c>
      <c r="G387" s="85" t="s">
        <v>2512</v>
      </c>
      <c r="H387" s="86" t="s">
        <v>2513</v>
      </c>
      <c r="I387" s="85" t="s">
        <v>641</v>
      </c>
      <c r="J387" s="85" t="s">
        <v>637</v>
      </c>
      <c r="K387" s="132" t="s">
        <v>614</v>
      </c>
      <c r="L387" s="85" t="s">
        <v>643</v>
      </c>
      <c r="M387" s="111"/>
      <c r="N387" s="46"/>
      <c r="O387" s="47"/>
      <c r="P387" s="57"/>
      <c r="Q387" s="63"/>
      <c r="R387" s="47"/>
      <c r="S387" s="50"/>
    </row>
    <row r="388" spans="1:20" ht="15" customHeight="1" x14ac:dyDescent="0.4">
      <c r="A388">
        <f t="shared" ref="A388:A451" si="6">A387+1</f>
        <v>387</v>
      </c>
      <c r="B388" s="40" t="s">
        <v>605</v>
      </c>
      <c r="C388" s="51" t="s">
        <v>2514</v>
      </c>
      <c r="D388" s="53" t="s">
        <v>2515</v>
      </c>
      <c r="E388" s="53" t="s">
        <v>1028</v>
      </c>
      <c r="F388" s="53" t="s">
        <v>2516</v>
      </c>
      <c r="G388" s="53" t="s">
        <v>2517</v>
      </c>
      <c r="H388" s="60" t="s">
        <v>2518</v>
      </c>
      <c r="I388" s="52" t="s">
        <v>630</v>
      </c>
      <c r="J388" s="52" t="s">
        <v>613</v>
      </c>
      <c r="K388" s="52" t="s">
        <v>614</v>
      </c>
      <c r="L388" s="52" t="s">
        <v>615</v>
      </c>
      <c r="M388" s="45"/>
      <c r="N388" s="46"/>
      <c r="O388" s="47"/>
      <c r="P388" s="57"/>
      <c r="Q388" s="63"/>
      <c r="R388" s="47"/>
      <c r="S388" s="50"/>
    </row>
    <row r="389" spans="1:20" ht="15" customHeight="1" x14ac:dyDescent="0.4">
      <c r="A389">
        <f t="shared" si="6"/>
        <v>388</v>
      </c>
      <c r="B389" s="40" t="s">
        <v>605</v>
      </c>
      <c r="C389" s="41" t="s">
        <v>267</v>
      </c>
      <c r="D389" s="42" t="s">
        <v>2519</v>
      </c>
      <c r="E389" s="42" t="s">
        <v>1348</v>
      </c>
      <c r="F389" s="42" t="s">
        <v>1622</v>
      </c>
      <c r="G389" s="42" t="s">
        <v>2520</v>
      </c>
      <c r="H389" s="43" t="s">
        <v>2521</v>
      </c>
      <c r="I389" s="42" t="s">
        <v>1219</v>
      </c>
      <c r="J389" s="42" t="s">
        <v>778</v>
      </c>
      <c r="K389" s="54" t="s">
        <v>614</v>
      </c>
      <c r="L389" s="52" t="s">
        <v>615</v>
      </c>
      <c r="M389" s="45"/>
      <c r="N389" s="46"/>
      <c r="O389" s="47"/>
      <c r="P389" s="57"/>
      <c r="Q389" s="63"/>
      <c r="R389" s="47"/>
      <c r="S389" s="81"/>
    </row>
    <row r="390" spans="1:20" ht="15" customHeight="1" x14ac:dyDescent="0.4">
      <c r="A390">
        <f t="shared" si="6"/>
        <v>389</v>
      </c>
      <c r="B390" s="40" t="s">
        <v>605</v>
      </c>
      <c r="C390" s="41" t="s">
        <v>346</v>
      </c>
      <c r="D390" s="42" t="s">
        <v>2522</v>
      </c>
      <c r="E390" s="42" t="s">
        <v>692</v>
      </c>
      <c r="F390" s="42" t="s">
        <v>2523</v>
      </c>
      <c r="G390" s="42" t="s">
        <v>2524</v>
      </c>
      <c r="H390" s="43" t="s">
        <v>2525</v>
      </c>
      <c r="I390" s="76" t="s">
        <v>1032</v>
      </c>
      <c r="J390" s="76" t="s">
        <v>778</v>
      </c>
      <c r="K390" s="54" t="s">
        <v>614</v>
      </c>
      <c r="L390" s="76" t="s">
        <v>615</v>
      </c>
      <c r="M390" s="45"/>
      <c r="N390" s="46"/>
      <c r="O390" s="47"/>
      <c r="P390" s="57" t="s">
        <v>2526</v>
      </c>
      <c r="Q390" s="63"/>
      <c r="R390" s="47"/>
      <c r="S390" s="81"/>
    </row>
    <row r="391" spans="1:20" ht="15" customHeight="1" x14ac:dyDescent="0.4">
      <c r="A391">
        <f t="shared" si="6"/>
        <v>390</v>
      </c>
      <c r="B391" s="40" t="s">
        <v>605</v>
      </c>
      <c r="C391" s="41" t="s">
        <v>2527</v>
      </c>
      <c r="D391" s="42" t="s">
        <v>2528</v>
      </c>
      <c r="E391" s="42" t="s">
        <v>633</v>
      </c>
      <c r="F391" s="42" t="s">
        <v>2529</v>
      </c>
      <c r="G391" s="42" t="s">
        <v>2530</v>
      </c>
      <c r="H391" s="127" t="s">
        <v>2531</v>
      </c>
      <c r="I391" s="42" t="s">
        <v>703</v>
      </c>
      <c r="J391" s="42" t="s">
        <v>613</v>
      </c>
      <c r="K391" s="54" t="s">
        <v>614</v>
      </c>
      <c r="L391" s="44" t="s">
        <v>615</v>
      </c>
      <c r="M391" s="45"/>
      <c r="N391" s="46"/>
      <c r="O391" s="47"/>
      <c r="P391" s="72"/>
      <c r="Q391" s="63"/>
      <c r="R391" s="47"/>
      <c r="S391" s="50"/>
    </row>
    <row r="392" spans="1:20" ht="15" customHeight="1" x14ac:dyDescent="0.4">
      <c r="A392">
        <f t="shared" si="6"/>
        <v>391</v>
      </c>
      <c r="B392" s="40" t="s">
        <v>605</v>
      </c>
      <c r="C392" s="51" t="s">
        <v>2532</v>
      </c>
      <c r="D392" s="52" t="s">
        <v>2533</v>
      </c>
      <c r="E392" s="52" t="s">
        <v>2534</v>
      </c>
      <c r="F392" s="52" t="s">
        <v>2535</v>
      </c>
      <c r="G392" s="52" t="s">
        <v>2536</v>
      </c>
      <c r="H392" s="82" t="s">
        <v>2537</v>
      </c>
      <c r="I392" s="52" t="s">
        <v>799</v>
      </c>
      <c r="J392" s="52" t="s">
        <v>735</v>
      </c>
      <c r="K392" s="53" t="s">
        <v>614</v>
      </c>
      <c r="L392" s="52" t="s">
        <v>615</v>
      </c>
      <c r="M392" s="45"/>
      <c r="N392" s="46"/>
      <c r="O392" s="47"/>
      <c r="P392" s="57"/>
      <c r="Q392" s="63"/>
      <c r="R392" s="47"/>
      <c r="S392" s="50"/>
    </row>
    <row r="393" spans="1:20" ht="15" customHeight="1" x14ac:dyDescent="0.4">
      <c r="A393">
        <f t="shared" si="6"/>
        <v>392</v>
      </c>
      <c r="B393" s="40" t="s">
        <v>605</v>
      </c>
      <c r="C393" s="51" t="s">
        <v>2538</v>
      </c>
      <c r="D393" s="52" t="s">
        <v>2539</v>
      </c>
      <c r="E393" s="52" t="s">
        <v>2540</v>
      </c>
      <c r="F393" s="52" t="s">
        <v>1538</v>
      </c>
      <c r="G393" s="52" t="s">
        <v>2541</v>
      </c>
      <c r="H393" s="60" t="s">
        <v>2542</v>
      </c>
      <c r="I393" s="76" t="s">
        <v>641</v>
      </c>
      <c r="J393" s="76" t="s">
        <v>721</v>
      </c>
      <c r="K393" s="54" t="s">
        <v>614</v>
      </c>
      <c r="L393" s="76" t="s">
        <v>615</v>
      </c>
      <c r="M393" s="77"/>
      <c r="N393" s="46"/>
      <c r="O393" s="47"/>
      <c r="P393" s="57"/>
      <c r="Q393" s="63"/>
      <c r="R393" s="47"/>
      <c r="S393" s="64"/>
    </row>
    <row r="394" spans="1:20" ht="15" customHeight="1" x14ac:dyDescent="0.4">
      <c r="A394">
        <f t="shared" si="6"/>
        <v>393</v>
      </c>
      <c r="B394" s="40" t="s">
        <v>605</v>
      </c>
      <c r="C394" s="51" t="s">
        <v>2543</v>
      </c>
      <c r="D394" s="52" t="s">
        <v>2544</v>
      </c>
      <c r="E394" s="52" t="s">
        <v>1012</v>
      </c>
      <c r="F394" s="52" t="s">
        <v>2545</v>
      </c>
      <c r="G394" s="52" t="s">
        <v>2546</v>
      </c>
      <c r="H394" s="60" t="s">
        <v>2547</v>
      </c>
      <c r="I394" s="42" t="s">
        <v>703</v>
      </c>
      <c r="J394" s="42" t="s">
        <v>669</v>
      </c>
      <c r="K394" s="54" t="s">
        <v>614</v>
      </c>
      <c r="L394" s="52" t="s">
        <v>615</v>
      </c>
      <c r="M394" s="45"/>
      <c r="N394" s="46"/>
      <c r="O394" s="47"/>
      <c r="P394" s="57"/>
      <c r="Q394" s="63"/>
      <c r="R394" s="47"/>
      <c r="S394" s="64"/>
    </row>
    <row r="395" spans="1:20" ht="15" customHeight="1" x14ac:dyDescent="0.4">
      <c r="A395">
        <f t="shared" si="6"/>
        <v>394</v>
      </c>
      <c r="B395" s="40" t="s">
        <v>605</v>
      </c>
      <c r="C395" s="51" t="s">
        <v>2548</v>
      </c>
      <c r="D395" s="52" t="s">
        <v>2549</v>
      </c>
      <c r="E395" s="52" t="s">
        <v>2200</v>
      </c>
      <c r="F395" s="52" t="s">
        <v>2550</v>
      </c>
      <c r="G395" s="52" t="s">
        <v>2551</v>
      </c>
      <c r="H395" s="60" t="s">
        <v>2552</v>
      </c>
      <c r="I395" s="52" t="s">
        <v>2553</v>
      </c>
      <c r="J395" s="52" t="s">
        <v>813</v>
      </c>
      <c r="K395" s="53" t="s">
        <v>614</v>
      </c>
      <c r="L395" s="52" t="s">
        <v>615</v>
      </c>
      <c r="M395" s="45"/>
      <c r="N395" s="46"/>
      <c r="O395" s="47"/>
      <c r="P395" s="57"/>
      <c r="Q395" s="63"/>
      <c r="R395" s="47"/>
      <c r="S395" s="50"/>
    </row>
    <row r="396" spans="1:20" ht="15" customHeight="1" x14ac:dyDescent="0.4">
      <c r="A396">
        <f t="shared" si="6"/>
        <v>395</v>
      </c>
      <c r="B396" s="40" t="s">
        <v>605</v>
      </c>
      <c r="C396" s="51" t="s">
        <v>2554</v>
      </c>
      <c r="D396" s="52" t="s">
        <v>1381</v>
      </c>
      <c r="E396" s="52" t="s">
        <v>1012</v>
      </c>
      <c r="F396" s="52" t="s">
        <v>2555</v>
      </c>
      <c r="G396" s="52" t="s">
        <v>2556</v>
      </c>
      <c r="H396" s="53" t="s">
        <v>2557</v>
      </c>
      <c r="I396" s="52" t="s">
        <v>703</v>
      </c>
      <c r="J396" s="52" t="s">
        <v>704</v>
      </c>
      <c r="K396" s="54" t="s">
        <v>614</v>
      </c>
      <c r="L396" s="52" t="s">
        <v>615</v>
      </c>
      <c r="M396" s="80"/>
      <c r="N396" s="46"/>
      <c r="O396" s="47"/>
      <c r="P396" s="57"/>
      <c r="Q396" s="63"/>
      <c r="R396" s="47"/>
      <c r="S396" s="81"/>
    </row>
    <row r="397" spans="1:20" ht="15" customHeight="1" x14ac:dyDescent="0.4">
      <c r="A397">
        <f t="shared" si="6"/>
        <v>396</v>
      </c>
      <c r="B397" s="40" t="s">
        <v>605</v>
      </c>
      <c r="C397" s="51" t="s">
        <v>318</v>
      </c>
      <c r="D397" s="52" t="s">
        <v>1381</v>
      </c>
      <c r="E397" s="52" t="s">
        <v>2558</v>
      </c>
      <c r="F397" s="52" t="s">
        <v>2559</v>
      </c>
      <c r="G397" s="52" t="s">
        <v>2560</v>
      </c>
      <c r="H397" s="82" t="s">
        <v>93</v>
      </c>
      <c r="I397" s="76" t="s">
        <v>1055</v>
      </c>
      <c r="J397" s="109" t="s">
        <v>735</v>
      </c>
      <c r="K397" s="54" t="s">
        <v>614</v>
      </c>
      <c r="L397" s="76" t="s">
        <v>615</v>
      </c>
      <c r="M397" s="45"/>
      <c r="N397" s="46"/>
      <c r="O397" s="47"/>
      <c r="P397" s="57"/>
      <c r="Q397" s="63"/>
      <c r="R397" s="47"/>
      <c r="S397" s="50"/>
    </row>
    <row r="398" spans="1:20" ht="15" customHeight="1" x14ac:dyDescent="0.4">
      <c r="A398">
        <f t="shared" si="6"/>
        <v>397</v>
      </c>
      <c r="B398" s="40" t="s">
        <v>605</v>
      </c>
      <c r="C398" s="51" t="s">
        <v>2561</v>
      </c>
      <c r="D398" s="52" t="s">
        <v>1381</v>
      </c>
      <c r="E398" s="52" t="s">
        <v>2562</v>
      </c>
      <c r="F398" s="52" t="s">
        <v>2563</v>
      </c>
      <c r="G398" s="52" t="s">
        <v>2564</v>
      </c>
      <c r="H398" s="83" t="s">
        <v>2565</v>
      </c>
      <c r="I398" s="52" t="s">
        <v>734</v>
      </c>
      <c r="J398" s="52" t="s">
        <v>1033</v>
      </c>
      <c r="K398" s="54" t="s">
        <v>614</v>
      </c>
      <c r="L398" s="52" t="s">
        <v>615</v>
      </c>
      <c r="M398" s="45"/>
      <c r="N398" s="46"/>
      <c r="O398" s="47"/>
      <c r="P398" s="57"/>
      <c r="Q398" s="96"/>
      <c r="R398" s="47"/>
      <c r="S398" s="50"/>
    </row>
    <row r="399" spans="1:20" ht="15" customHeight="1" x14ac:dyDescent="0.4">
      <c r="A399">
        <f t="shared" si="6"/>
        <v>398</v>
      </c>
      <c r="B399" s="40" t="s">
        <v>605</v>
      </c>
      <c r="C399" s="51" t="s">
        <v>2566</v>
      </c>
      <c r="D399" s="52" t="s">
        <v>1381</v>
      </c>
      <c r="E399" s="52" t="s">
        <v>2567</v>
      </c>
      <c r="F399" s="52" t="s">
        <v>2568</v>
      </c>
      <c r="G399" s="52" t="s">
        <v>2569</v>
      </c>
      <c r="H399" s="60" t="s">
        <v>2570</v>
      </c>
      <c r="I399" s="52" t="s">
        <v>799</v>
      </c>
      <c r="J399" s="52" t="s">
        <v>613</v>
      </c>
      <c r="K399" s="54" t="s">
        <v>614</v>
      </c>
      <c r="L399" s="52" t="s">
        <v>615</v>
      </c>
      <c r="M399" s="62"/>
      <c r="N399" s="46"/>
      <c r="O399" s="47"/>
      <c r="P399" s="57"/>
      <c r="Q399" s="63"/>
      <c r="R399" s="47"/>
      <c r="S399" s="50"/>
    </row>
    <row r="400" spans="1:20" ht="15" customHeight="1" x14ac:dyDescent="0.4">
      <c r="A400">
        <f t="shared" si="6"/>
        <v>399</v>
      </c>
      <c r="B400" s="40" t="s">
        <v>605</v>
      </c>
      <c r="C400" s="51" t="s">
        <v>2571</v>
      </c>
      <c r="D400" s="52" t="s">
        <v>892</v>
      </c>
      <c r="E400" s="52" t="s">
        <v>832</v>
      </c>
      <c r="F400" s="52" t="s">
        <v>2572</v>
      </c>
      <c r="G400" s="52" t="s">
        <v>2573</v>
      </c>
      <c r="H400" s="82" t="s">
        <v>2574</v>
      </c>
      <c r="I400" s="52" t="s">
        <v>622</v>
      </c>
      <c r="J400" s="52" t="s">
        <v>664</v>
      </c>
      <c r="K400" s="53" t="s">
        <v>614</v>
      </c>
      <c r="L400" s="52" t="s">
        <v>615</v>
      </c>
      <c r="M400" s="45"/>
      <c r="N400" s="118"/>
      <c r="O400" s="47"/>
      <c r="P400" s="57"/>
      <c r="Q400" s="63"/>
      <c r="R400" s="68"/>
      <c r="S400" s="69"/>
    </row>
    <row r="401" spans="1:20" ht="15" customHeight="1" x14ac:dyDescent="0.4">
      <c r="A401">
        <f t="shared" si="6"/>
        <v>400</v>
      </c>
      <c r="B401" s="40" t="s">
        <v>605</v>
      </c>
      <c r="C401" s="51" t="s">
        <v>2575</v>
      </c>
      <c r="D401" s="52" t="s">
        <v>892</v>
      </c>
      <c r="E401" s="52" t="s">
        <v>2576</v>
      </c>
      <c r="F401" s="52" t="s">
        <v>2577</v>
      </c>
      <c r="G401" s="147" t="s">
        <v>2578</v>
      </c>
      <c r="H401" s="107" t="s">
        <v>2579</v>
      </c>
      <c r="I401" s="76" t="s">
        <v>641</v>
      </c>
      <c r="J401" s="76" t="s">
        <v>664</v>
      </c>
      <c r="K401" s="54" t="s">
        <v>614</v>
      </c>
      <c r="L401" s="76" t="s">
        <v>643</v>
      </c>
      <c r="M401" s="45"/>
      <c r="N401" s="147"/>
      <c r="O401" s="47"/>
      <c r="P401" s="57"/>
      <c r="Q401" s="63"/>
      <c r="R401" s="68"/>
      <c r="S401" s="69"/>
    </row>
    <row r="402" spans="1:20" ht="15" customHeight="1" x14ac:dyDescent="0.4">
      <c r="A402">
        <f t="shared" si="6"/>
        <v>401</v>
      </c>
      <c r="B402" s="40" t="s">
        <v>605</v>
      </c>
      <c r="C402" s="51" t="s">
        <v>2580</v>
      </c>
      <c r="D402" s="52" t="s">
        <v>2581</v>
      </c>
      <c r="E402" s="52" t="s">
        <v>1175</v>
      </c>
      <c r="F402" s="52" t="s">
        <v>2582</v>
      </c>
      <c r="G402" s="52" t="s">
        <v>2583</v>
      </c>
      <c r="H402" s="43" t="s">
        <v>2584</v>
      </c>
      <c r="I402" s="53" t="s">
        <v>1123</v>
      </c>
      <c r="J402" s="53" t="s">
        <v>1086</v>
      </c>
      <c r="K402" s="53" t="s">
        <v>614</v>
      </c>
      <c r="L402" s="52" t="s">
        <v>643</v>
      </c>
      <c r="M402" s="45"/>
      <c r="N402" s="46"/>
      <c r="O402" s="47"/>
      <c r="P402" s="57"/>
      <c r="Q402" s="63"/>
      <c r="R402" s="47"/>
      <c r="S402" s="92"/>
    </row>
    <row r="403" spans="1:20" ht="15" customHeight="1" x14ac:dyDescent="0.4">
      <c r="A403">
        <f t="shared" si="6"/>
        <v>402</v>
      </c>
      <c r="B403" s="40" t="s">
        <v>605</v>
      </c>
      <c r="C403" s="51" t="s">
        <v>304</v>
      </c>
      <c r="D403" s="52" t="s">
        <v>2585</v>
      </c>
      <c r="E403" s="52" t="s">
        <v>1643</v>
      </c>
      <c r="F403" s="52" t="s">
        <v>2586</v>
      </c>
      <c r="G403" s="52" t="s">
        <v>2587</v>
      </c>
      <c r="H403" s="53" t="s">
        <v>96</v>
      </c>
      <c r="I403" s="52" t="s">
        <v>1154</v>
      </c>
      <c r="J403" s="52" t="s">
        <v>778</v>
      </c>
      <c r="K403" s="52" t="s">
        <v>614</v>
      </c>
      <c r="L403" s="52" t="s">
        <v>615</v>
      </c>
      <c r="M403" s="45"/>
      <c r="N403" s="46"/>
      <c r="O403" s="47"/>
      <c r="P403" s="72"/>
      <c r="Q403" s="63"/>
      <c r="R403" s="47"/>
      <c r="S403" s="50"/>
      <c r="T403" s="98"/>
    </row>
    <row r="404" spans="1:20" ht="15" customHeight="1" x14ac:dyDescent="0.4">
      <c r="A404">
        <f t="shared" si="6"/>
        <v>403</v>
      </c>
      <c r="B404" s="40" t="s">
        <v>605</v>
      </c>
      <c r="C404" s="51" t="s">
        <v>2588</v>
      </c>
      <c r="D404" s="52" t="s">
        <v>2224</v>
      </c>
      <c r="E404" s="52" t="s">
        <v>1028</v>
      </c>
      <c r="F404" s="52" t="s">
        <v>2589</v>
      </c>
      <c r="G404" s="52" t="s">
        <v>2590</v>
      </c>
      <c r="H404" s="82" t="s">
        <v>2591</v>
      </c>
      <c r="I404" s="52" t="s">
        <v>734</v>
      </c>
      <c r="J404" s="52" t="s">
        <v>721</v>
      </c>
      <c r="K404" s="52" t="s">
        <v>614</v>
      </c>
      <c r="L404" s="52" t="s">
        <v>615</v>
      </c>
      <c r="M404" s="45"/>
      <c r="N404" s="46"/>
      <c r="O404" s="47"/>
      <c r="P404" s="57"/>
      <c r="Q404" s="63"/>
      <c r="R404" s="47"/>
      <c r="S404" s="50"/>
    </row>
    <row r="405" spans="1:20" ht="15" customHeight="1" x14ac:dyDescent="0.4">
      <c r="A405">
        <f t="shared" si="6"/>
        <v>404</v>
      </c>
      <c r="B405" s="40" t="s">
        <v>605</v>
      </c>
      <c r="C405" s="51" t="s">
        <v>2592</v>
      </c>
      <c r="D405" s="52" t="s">
        <v>2224</v>
      </c>
      <c r="E405" s="52" t="s">
        <v>2166</v>
      </c>
      <c r="F405" s="52" t="s">
        <v>2593</v>
      </c>
      <c r="G405" s="52" t="s">
        <v>2594</v>
      </c>
      <c r="H405" s="43" t="s">
        <v>2595</v>
      </c>
      <c r="I405" s="52" t="s">
        <v>861</v>
      </c>
      <c r="J405" s="53" t="s">
        <v>676</v>
      </c>
      <c r="K405" s="54" t="s">
        <v>614</v>
      </c>
      <c r="L405" s="52" t="s">
        <v>615</v>
      </c>
      <c r="M405" s="45"/>
      <c r="N405" s="46"/>
      <c r="O405" s="47"/>
      <c r="P405" s="57"/>
      <c r="Q405" s="63"/>
      <c r="R405" s="47"/>
      <c r="S405" s="81"/>
    </row>
    <row r="406" spans="1:20" ht="15" customHeight="1" x14ac:dyDescent="0.4">
      <c r="A406">
        <f t="shared" si="6"/>
        <v>405</v>
      </c>
      <c r="B406" s="40" t="s">
        <v>605</v>
      </c>
      <c r="C406" s="51" t="s">
        <v>2596</v>
      </c>
      <c r="D406" s="52" t="s">
        <v>2597</v>
      </c>
      <c r="E406" s="52" t="s">
        <v>2598</v>
      </c>
      <c r="F406" s="52" t="s">
        <v>2599</v>
      </c>
      <c r="G406" s="52" t="s">
        <v>2600</v>
      </c>
      <c r="H406" s="60" t="s">
        <v>2601</v>
      </c>
      <c r="I406" s="52" t="s">
        <v>641</v>
      </c>
      <c r="J406" s="52" t="s">
        <v>1069</v>
      </c>
      <c r="K406" s="54" t="s">
        <v>614</v>
      </c>
      <c r="L406" s="52" t="s">
        <v>615</v>
      </c>
      <c r="M406" s="45"/>
      <c r="N406" s="46"/>
      <c r="O406" s="47"/>
      <c r="P406" s="57"/>
      <c r="Q406" s="63"/>
      <c r="R406" s="47"/>
      <c r="S406" s="50"/>
    </row>
    <row r="407" spans="1:20" ht="15" customHeight="1" x14ac:dyDescent="0.4">
      <c r="A407">
        <f t="shared" si="6"/>
        <v>406</v>
      </c>
      <c r="B407" s="40" t="s">
        <v>605</v>
      </c>
      <c r="C407" s="41" t="s">
        <v>2602</v>
      </c>
      <c r="D407" s="42" t="s">
        <v>2603</v>
      </c>
      <c r="E407" s="42" t="s">
        <v>1491</v>
      </c>
      <c r="F407" s="44" t="s">
        <v>2604</v>
      </c>
      <c r="G407" s="44" t="s">
        <v>2605</v>
      </c>
      <c r="H407" s="44" t="s">
        <v>2606</v>
      </c>
      <c r="I407" s="42" t="s">
        <v>703</v>
      </c>
      <c r="J407" s="44" t="s">
        <v>1069</v>
      </c>
      <c r="K407" s="42" t="s">
        <v>614</v>
      </c>
      <c r="L407" s="44" t="s">
        <v>615</v>
      </c>
      <c r="M407" s="45"/>
      <c r="N407" s="66"/>
      <c r="O407" s="67"/>
      <c r="P407" s="57"/>
      <c r="Q407" s="63"/>
      <c r="R407" s="47"/>
      <c r="S407" s="69"/>
      <c r="T407" s="33"/>
    </row>
    <row r="408" spans="1:20" ht="15" customHeight="1" x14ac:dyDescent="0.4">
      <c r="A408">
        <f t="shared" si="6"/>
        <v>407</v>
      </c>
      <c r="B408" s="40" t="s">
        <v>605</v>
      </c>
      <c r="C408" s="51" t="s">
        <v>2607</v>
      </c>
      <c r="D408" s="52" t="s">
        <v>2608</v>
      </c>
      <c r="E408" s="52" t="s">
        <v>2549</v>
      </c>
      <c r="F408" s="52" t="s">
        <v>2609</v>
      </c>
      <c r="G408" s="52" t="s">
        <v>2610</v>
      </c>
      <c r="H408" s="53" t="s">
        <v>2611</v>
      </c>
      <c r="I408" s="52" t="s">
        <v>1032</v>
      </c>
      <c r="J408" s="53" t="s">
        <v>721</v>
      </c>
      <c r="K408" s="54" t="s">
        <v>614</v>
      </c>
      <c r="L408" s="52" t="s">
        <v>615</v>
      </c>
      <c r="M408" s="45"/>
      <c r="N408" s="46"/>
      <c r="O408" s="47"/>
      <c r="P408" s="57"/>
      <c r="Q408" s="63"/>
      <c r="R408" s="47"/>
      <c r="S408" s="50"/>
    </row>
    <row r="409" spans="1:20" ht="15" customHeight="1" x14ac:dyDescent="0.4">
      <c r="A409">
        <f t="shared" si="6"/>
        <v>408</v>
      </c>
      <c r="B409" s="40" t="s">
        <v>605</v>
      </c>
      <c r="C409" s="51" t="s">
        <v>2612</v>
      </c>
      <c r="D409" s="52" t="s">
        <v>2613</v>
      </c>
      <c r="E409" s="52" t="s">
        <v>716</v>
      </c>
      <c r="F409" s="52" t="s">
        <v>1208</v>
      </c>
      <c r="G409" s="52" t="s">
        <v>2614</v>
      </c>
      <c r="H409" s="43" t="s">
        <v>2615</v>
      </c>
      <c r="I409" s="53" t="s">
        <v>757</v>
      </c>
      <c r="J409" s="52" t="s">
        <v>637</v>
      </c>
      <c r="K409" s="53" t="s">
        <v>614</v>
      </c>
      <c r="L409" s="52" t="s">
        <v>615</v>
      </c>
      <c r="M409" s="56"/>
      <c r="N409" s="46"/>
      <c r="O409" s="47"/>
      <c r="P409" s="57"/>
      <c r="Q409" s="63"/>
      <c r="R409" s="47"/>
      <c r="S409" s="50"/>
    </row>
    <row r="410" spans="1:20" ht="15" customHeight="1" x14ac:dyDescent="0.4">
      <c r="A410">
        <f t="shared" si="6"/>
        <v>409</v>
      </c>
      <c r="B410" s="40" t="s">
        <v>605</v>
      </c>
      <c r="C410" s="51" t="s">
        <v>2616</v>
      </c>
      <c r="D410" s="52" t="s">
        <v>876</v>
      </c>
      <c r="E410" s="52" t="s">
        <v>1795</v>
      </c>
      <c r="F410" s="52" t="s">
        <v>2617</v>
      </c>
      <c r="G410" s="52" t="s">
        <v>2618</v>
      </c>
      <c r="H410" s="82" t="s">
        <v>2619</v>
      </c>
      <c r="I410" s="52" t="s">
        <v>720</v>
      </c>
      <c r="J410" s="52" t="s">
        <v>825</v>
      </c>
      <c r="K410" s="54" t="s">
        <v>614</v>
      </c>
      <c r="L410" s="52" t="s">
        <v>615</v>
      </c>
      <c r="M410" s="80"/>
      <c r="N410" s="46"/>
      <c r="O410" s="47"/>
      <c r="P410" s="57"/>
      <c r="Q410" s="63"/>
      <c r="R410" s="47"/>
      <c r="S410" s="50"/>
    </row>
    <row r="411" spans="1:20" ht="15" customHeight="1" x14ac:dyDescent="0.4">
      <c r="A411">
        <f t="shared" si="6"/>
        <v>410</v>
      </c>
      <c r="B411" s="40" t="s">
        <v>605</v>
      </c>
      <c r="C411" s="51" t="s">
        <v>2620</v>
      </c>
      <c r="D411" s="52" t="s">
        <v>2621</v>
      </c>
      <c r="E411" s="53" t="s">
        <v>1989</v>
      </c>
      <c r="F411" s="53" t="s">
        <v>2622</v>
      </c>
      <c r="G411" s="53" t="s">
        <v>2623</v>
      </c>
      <c r="H411" s="53" t="s">
        <v>2624</v>
      </c>
      <c r="I411" s="52" t="s">
        <v>649</v>
      </c>
      <c r="J411" s="52" t="s">
        <v>631</v>
      </c>
      <c r="K411" s="54" t="s">
        <v>614</v>
      </c>
      <c r="L411" s="52" t="s">
        <v>615</v>
      </c>
      <c r="M411" s="45"/>
      <c r="N411" s="46"/>
      <c r="O411" s="47"/>
      <c r="P411" s="57"/>
      <c r="Q411" s="63"/>
      <c r="R411" s="47"/>
      <c r="S411" s="50"/>
    </row>
    <row r="412" spans="1:20" ht="15" customHeight="1" x14ac:dyDescent="0.4">
      <c r="A412">
        <f t="shared" si="6"/>
        <v>411</v>
      </c>
      <c r="B412" s="40" t="s">
        <v>605</v>
      </c>
      <c r="C412" s="51" t="s">
        <v>2625</v>
      </c>
      <c r="D412" s="52" t="s">
        <v>1319</v>
      </c>
      <c r="E412" s="52" t="s">
        <v>903</v>
      </c>
      <c r="F412" s="52" t="s">
        <v>2626</v>
      </c>
      <c r="G412" s="52" t="s">
        <v>2627</v>
      </c>
      <c r="H412" s="82" t="s">
        <v>2628</v>
      </c>
      <c r="I412" s="52" t="s">
        <v>656</v>
      </c>
      <c r="J412" s="53" t="s">
        <v>1086</v>
      </c>
      <c r="K412" s="54" t="s">
        <v>614</v>
      </c>
      <c r="L412" s="52" t="s">
        <v>615</v>
      </c>
      <c r="M412" s="45"/>
      <c r="N412" s="46"/>
      <c r="O412" s="47"/>
      <c r="P412" s="57"/>
      <c r="Q412" s="58"/>
      <c r="R412" s="47"/>
      <c r="S412" s="50"/>
    </row>
    <row r="413" spans="1:20" ht="15" customHeight="1" x14ac:dyDescent="0.4">
      <c r="A413">
        <f t="shared" si="6"/>
        <v>412</v>
      </c>
      <c r="B413" s="40" t="s">
        <v>605</v>
      </c>
      <c r="C413" s="51" t="s">
        <v>2629</v>
      </c>
      <c r="D413" s="52" t="s">
        <v>1319</v>
      </c>
      <c r="E413" s="52" t="s">
        <v>652</v>
      </c>
      <c r="F413" s="52" t="s">
        <v>2630</v>
      </c>
      <c r="G413" s="52" t="s">
        <v>2631</v>
      </c>
      <c r="H413" s="60" t="s">
        <v>2632</v>
      </c>
      <c r="I413" s="52" t="s">
        <v>734</v>
      </c>
      <c r="J413" s="53" t="s">
        <v>728</v>
      </c>
      <c r="K413" s="54" t="s">
        <v>614</v>
      </c>
      <c r="L413" s="52" t="s">
        <v>615</v>
      </c>
      <c r="M413" s="45"/>
      <c r="N413" s="46"/>
      <c r="O413" s="47"/>
      <c r="P413" s="57"/>
      <c r="Q413" s="63"/>
      <c r="R413" s="47"/>
      <c r="S413" s="50"/>
    </row>
    <row r="414" spans="1:20" ht="15" customHeight="1" x14ac:dyDescent="0.4">
      <c r="A414">
        <f t="shared" si="6"/>
        <v>413</v>
      </c>
      <c r="B414" s="40" t="s">
        <v>605</v>
      </c>
      <c r="C414" s="148" t="s">
        <v>2633</v>
      </c>
      <c r="D414" s="52" t="s">
        <v>652</v>
      </c>
      <c r="E414" s="52" t="s">
        <v>832</v>
      </c>
      <c r="F414" s="52" t="s">
        <v>2634</v>
      </c>
      <c r="G414" s="52" t="s">
        <v>2635</v>
      </c>
      <c r="H414" s="43" t="s">
        <v>2636</v>
      </c>
      <c r="I414" s="42" t="s">
        <v>656</v>
      </c>
      <c r="J414" s="52" t="s">
        <v>728</v>
      </c>
      <c r="K414" s="54" t="s">
        <v>614</v>
      </c>
      <c r="L414" s="52" t="s">
        <v>615</v>
      </c>
      <c r="M414" s="45"/>
      <c r="N414" s="46"/>
      <c r="O414" s="47"/>
      <c r="P414" s="57"/>
      <c r="Q414" s="63"/>
      <c r="R414" s="47"/>
      <c r="S414" s="50"/>
    </row>
    <row r="415" spans="1:20" ht="15" customHeight="1" x14ac:dyDescent="0.4">
      <c r="A415">
        <f t="shared" si="6"/>
        <v>414</v>
      </c>
      <c r="B415" s="40" t="s">
        <v>605</v>
      </c>
      <c r="C415" s="51" t="s">
        <v>2637</v>
      </c>
      <c r="D415" s="52" t="s">
        <v>652</v>
      </c>
      <c r="E415" s="52" t="s">
        <v>856</v>
      </c>
      <c r="F415" s="52" t="s">
        <v>2638</v>
      </c>
      <c r="G415" s="52" t="s">
        <v>2639</v>
      </c>
      <c r="H415" s="60" t="s">
        <v>2640</v>
      </c>
      <c r="I415" s="52" t="s">
        <v>641</v>
      </c>
      <c r="J415" s="52" t="s">
        <v>728</v>
      </c>
      <c r="K415" s="54" t="s">
        <v>614</v>
      </c>
      <c r="L415" s="52" t="s">
        <v>615</v>
      </c>
      <c r="M415" s="45"/>
      <c r="N415" s="46"/>
      <c r="O415" s="47"/>
      <c r="P415" s="57"/>
      <c r="Q415" s="63"/>
      <c r="R415" s="47"/>
      <c r="S415" s="81"/>
    </row>
    <row r="416" spans="1:20" ht="15" customHeight="1" x14ac:dyDescent="0.4">
      <c r="A416">
        <f t="shared" si="6"/>
        <v>415</v>
      </c>
      <c r="B416" s="40" t="s">
        <v>605</v>
      </c>
      <c r="C416" s="51" t="s">
        <v>2641</v>
      </c>
      <c r="D416" s="52" t="s">
        <v>652</v>
      </c>
      <c r="E416" s="52" t="s">
        <v>1012</v>
      </c>
      <c r="F416" s="52" t="s">
        <v>2642</v>
      </c>
      <c r="G416" s="52" t="s">
        <v>2643</v>
      </c>
      <c r="H416" s="53" t="s">
        <v>2644</v>
      </c>
      <c r="I416" s="52" t="s">
        <v>703</v>
      </c>
      <c r="J416" s="52" t="s">
        <v>664</v>
      </c>
      <c r="K416" s="54" t="s">
        <v>614</v>
      </c>
      <c r="L416" s="52" t="s">
        <v>615</v>
      </c>
      <c r="M416" s="45"/>
      <c r="N416" s="66"/>
      <c r="O416" s="67"/>
      <c r="P416" s="57"/>
      <c r="Q416" s="63"/>
      <c r="R416" s="47"/>
      <c r="S416" s="69"/>
      <c r="T416" s="33"/>
    </row>
    <row r="417" spans="1:20" ht="15" customHeight="1" x14ac:dyDescent="0.4">
      <c r="A417">
        <f t="shared" si="6"/>
        <v>416</v>
      </c>
      <c r="B417" s="40" t="s">
        <v>605</v>
      </c>
      <c r="C417" s="51" t="s">
        <v>2645</v>
      </c>
      <c r="D417" s="52" t="s">
        <v>652</v>
      </c>
      <c r="E417" s="52" t="s">
        <v>2646</v>
      </c>
      <c r="F417" s="52" t="s">
        <v>2647</v>
      </c>
      <c r="G417" s="52" t="s">
        <v>2648</v>
      </c>
      <c r="H417" s="60" t="s">
        <v>2649</v>
      </c>
      <c r="I417" s="52" t="s">
        <v>734</v>
      </c>
      <c r="J417" s="52" t="s">
        <v>1237</v>
      </c>
      <c r="K417" s="54" t="s">
        <v>614</v>
      </c>
      <c r="L417" s="52" t="s">
        <v>615</v>
      </c>
      <c r="M417" s="45"/>
      <c r="N417" s="46"/>
      <c r="O417" s="47"/>
      <c r="P417" s="57"/>
      <c r="Q417" s="63"/>
      <c r="R417" s="47"/>
      <c r="S417" s="50"/>
    </row>
    <row r="418" spans="1:20" ht="15" customHeight="1" x14ac:dyDescent="0.4">
      <c r="A418">
        <f t="shared" si="6"/>
        <v>417</v>
      </c>
      <c r="B418" s="40" t="s">
        <v>605</v>
      </c>
      <c r="C418" s="51" t="s">
        <v>2650</v>
      </c>
      <c r="D418" s="52" t="s">
        <v>652</v>
      </c>
      <c r="E418" s="52" t="s">
        <v>2651</v>
      </c>
      <c r="F418" s="52" t="s">
        <v>1644</v>
      </c>
      <c r="G418" s="52" t="s">
        <v>2652</v>
      </c>
      <c r="H418" s="103" t="s">
        <v>2653</v>
      </c>
      <c r="I418" s="53" t="s">
        <v>641</v>
      </c>
      <c r="J418" s="53" t="s">
        <v>664</v>
      </c>
      <c r="K418" s="54" t="s">
        <v>614</v>
      </c>
      <c r="L418" s="52" t="s">
        <v>643</v>
      </c>
      <c r="M418" s="56"/>
      <c r="N418" s="46"/>
      <c r="O418" s="47"/>
      <c r="P418" s="57"/>
      <c r="Q418" s="63"/>
      <c r="R418" s="47"/>
      <c r="S418" s="50"/>
    </row>
    <row r="419" spans="1:20" ht="15" customHeight="1" x14ac:dyDescent="0.4">
      <c r="A419">
        <f t="shared" si="6"/>
        <v>418</v>
      </c>
      <c r="B419" s="40" t="s">
        <v>605</v>
      </c>
      <c r="C419" s="51" t="s">
        <v>2654</v>
      </c>
      <c r="D419" s="53" t="s">
        <v>2655</v>
      </c>
      <c r="E419" s="53" t="s">
        <v>2656</v>
      </c>
      <c r="F419" s="53" t="s">
        <v>2657</v>
      </c>
      <c r="G419" s="53" t="s">
        <v>2658</v>
      </c>
      <c r="H419" s="60" t="s">
        <v>2659</v>
      </c>
      <c r="I419" s="53" t="s">
        <v>703</v>
      </c>
      <c r="J419" s="53" t="s">
        <v>623</v>
      </c>
      <c r="K419" s="54" t="s">
        <v>614</v>
      </c>
      <c r="L419" s="52" t="s">
        <v>615</v>
      </c>
      <c r="M419" s="45"/>
      <c r="N419" s="46"/>
      <c r="O419" s="47"/>
      <c r="P419" s="57"/>
      <c r="Q419" s="63"/>
      <c r="R419" s="47"/>
      <c r="S419" s="50"/>
    </row>
    <row r="420" spans="1:20" ht="15" customHeight="1" x14ac:dyDescent="0.4">
      <c r="A420">
        <f t="shared" si="6"/>
        <v>419</v>
      </c>
      <c r="B420" s="40" t="s">
        <v>605</v>
      </c>
      <c r="C420" s="51" t="s">
        <v>2660</v>
      </c>
      <c r="D420" s="52" t="s">
        <v>2598</v>
      </c>
      <c r="E420" s="52" t="s">
        <v>1198</v>
      </c>
      <c r="F420" s="52" t="s">
        <v>2661</v>
      </c>
      <c r="G420" s="52" t="s">
        <v>2662</v>
      </c>
      <c r="H420" s="82" t="s">
        <v>2663</v>
      </c>
      <c r="I420" s="52" t="s">
        <v>683</v>
      </c>
      <c r="J420" s="52" t="s">
        <v>613</v>
      </c>
      <c r="K420" s="54" t="s">
        <v>614</v>
      </c>
      <c r="L420" s="52" t="s">
        <v>615</v>
      </c>
      <c r="M420" s="56"/>
      <c r="N420" s="46"/>
      <c r="O420" s="47"/>
      <c r="P420" s="57"/>
      <c r="Q420" s="63"/>
      <c r="R420" s="47"/>
      <c r="S420" s="50"/>
    </row>
    <row r="421" spans="1:20" ht="15" customHeight="1" x14ac:dyDescent="0.4">
      <c r="A421">
        <f t="shared" si="6"/>
        <v>420</v>
      </c>
      <c r="B421" s="40" t="s">
        <v>605</v>
      </c>
      <c r="C421" s="51" t="s">
        <v>2664</v>
      </c>
      <c r="D421" s="52" t="s">
        <v>2598</v>
      </c>
      <c r="E421" s="52" t="s">
        <v>2665</v>
      </c>
      <c r="F421" s="52" t="s">
        <v>2666</v>
      </c>
      <c r="G421" s="52" t="s">
        <v>2667</v>
      </c>
      <c r="H421" s="53" t="s">
        <v>2668</v>
      </c>
      <c r="I421" s="52" t="s">
        <v>641</v>
      </c>
      <c r="J421" s="52" t="s">
        <v>728</v>
      </c>
      <c r="K421" s="54" t="s">
        <v>614</v>
      </c>
      <c r="L421" s="52" t="s">
        <v>615</v>
      </c>
      <c r="M421" s="45"/>
      <c r="N421" s="46"/>
      <c r="O421" s="47"/>
      <c r="P421" s="57"/>
      <c r="Q421" s="63"/>
      <c r="R421" s="47"/>
      <c r="S421" s="50"/>
    </row>
    <row r="422" spans="1:20" ht="15" customHeight="1" x14ac:dyDescent="0.4">
      <c r="A422">
        <f t="shared" si="6"/>
        <v>421</v>
      </c>
      <c r="B422" s="40" t="s">
        <v>605</v>
      </c>
      <c r="C422" s="51" t="s">
        <v>2669</v>
      </c>
      <c r="D422" s="52" t="s">
        <v>1297</v>
      </c>
      <c r="E422" s="53" t="s">
        <v>687</v>
      </c>
      <c r="F422" s="53" t="s">
        <v>2670</v>
      </c>
      <c r="G422" s="53" t="s">
        <v>2671</v>
      </c>
      <c r="H422" s="59" t="s">
        <v>2672</v>
      </c>
      <c r="I422" s="53" t="s">
        <v>683</v>
      </c>
      <c r="J422" s="53" t="s">
        <v>751</v>
      </c>
      <c r="K422" s="54" t="s">
        <v>614</v>
      </c>
      <c r="L422" s="52" t="s">
        <v>615</v>
      </c>
      <c r="M422" s="56"/>
      <c r="N422" s="46"/>
      <c r="O422" s="47"/>
      <c r="P422" s="72"/>
      <c r="Q422" s="63"/>
      <c r="R422" s="47"/>
      <c r="S422" s="81"/>
    </row>
    <row r="423" spans="1:20" ht="15" customHeight="1" x14ac:dyDescent="0.4">
      <c r="A423">
        <f t="shared" si="6"/>
        <v>422</v>
      </c>
      <c r="B423" s="40" t="s">
        <v>605</v>
      </c>
      <c r="C423" s="51" t="s">
        <v>2673</v>
      </c>
      <c r="D423" s="52" t="s">
        <v>1297</v>
      </c>
      <c r="E423" s="52" t="s">
        <v>2674</v>
      </c>
      <c r="F423" s="52" t="s">
        <v>2305</v>
      </c>
      <c r="G423" s="52" t="s">
        <v>2675</v>
      </c>
      <c r="H423" s="60" t="s">
        <v>2676</v>
      </c>
      <c r="I423" s="52" t="s">
        <v>622</v>
      </c>
      <c r="J423" s="52" t="s">
        <v>704</v>
      </c>
      <c r="K423" s="54" t="s">
        <v>614</v>
      </c>
      <c r="L423" s="52" t="s">
        <v>615</v>
      </c>
      <c r="M423" s="45"/>
      <c r="N423" s="46"/>
      <c r="O423" s="47"/>
      <c r="P423" s="57"/>
      <c r="Q423" s="63"/>
      <c r="R423" s="47"/>
      <c r="S423" s="50"/>
    </row>
    <row r="424" spans="1:20" ht="15" customHeight="1" x14ac:dyDescent="0.4">
      <c r="A424">
        <f t="shared" si="6"/>
        <v>423</v>
      </c>
      <c r="B424" s="40" t="s">
        <v>605</v>
      </c>
      <c r="C424" s="41" t="s">
        <v>2677</v>
      </c>
      <c r="D424" s="52" t="s">
        <v>2678</v>
      </c>
      <c r="E424" s="42" t="s">
        <v>716</v>
      </c>
      <c r="F424" s="42" t="s">
        <v>2679</v>
      </c>
      <c r="G424" s="42" t="s">
        <v>2680</v>
      </c>
      <c r="H424" s="127" t="s">
        <v>2681</v>
      </c>
      <c r="I424" s="52" t="s">
        <v>703</v>
      </c>
      <c r="J424" s="53" t="s">
        <v>751</v>
      </c>
      <c r="K424" s="54" t="s">
        <v>614</v>
      </c>
      <c r="L424" s="52" t="s">
        <v>615</v>
      </c>
      <c r="M424" s="45"/>
      <c r="N424" s="46"/>
      <c r="O424" s="47"/>
      <c r="P424" s="72"/>
      <c r="Q424" s="58"/>
      <c r="R424" s="47"/>
      <c r="S424" s="50"/>
    </row>
    <row r="425" spans="1:20" ht="15" customHeight="1" x14ac:dyDescent="0.4">
      <c r="A425">
        <f t="shared" si="6"/>
        <v>424</v>
      </c>
      <c r="B425" s="40" t="s">
        <v>605</v>
      </c>
      <c r="C425" s="51" t="s">
        <v>279</v>
      </c>
      <c r="D425" s="52" t="s">
        <v>1591</v>
      </c>
      <c r="E425" s="52" t="s">
        <v>1175</v>
      </c>
      <c r="F425" s="52" t="s">
        <v>2682</v>
      </c>
      <c r="G425" s="52" t="s">
        <v>2683</v>
      </c>
      <c r="H425" s="59" t="s">
        <v>2684</v>
      </c>
      <c r="I425" s="52" t="s">
        <v>1219</v>
      </c>
      <c r="J425" s="52" t="s">
        <v>778</v>
      </c>
      <c r="K425" s="54" t="s">
        <v>614</v>
      </c>
      <c r="L425" s="52" t="s">
        <v>615</v>
      </c>
      <c r="M425" s="45"/>
      <c r="N425" s="118"/>
      <c r="O425" s="52"/>
      <c r="P425" s="57"/>
      <c r="Q425" s="63"/>
      <c r="R425" s="47"/>
      <c r="S425" s="149"/>
      <c r="T425" s="33"/>
    </row>
    <row r="426" spans="1:20" ht="15" customHeight="1" x14ac:dyDescent="0.4">
      <c r="A426">
        <f t="shared" si="6"/>
        <v>425</v>
      </c>
      <c r="B426" s="40" t="s">
        <v>605</v>
      </c>
      <c r="C426" s="51" t="s">
        <v>2685</v>
      </c>
      <c r="D426" s="52" t="s">
        <v>1591</v>
      </c>
      <c r="E426" s="52" t="s">
        <v>770</v>
      </c>
      <c r="F426" s="52" t="s">
        <v>2686</v>
      </c>
      <c r="G426" s="52" t="s">
        <v>2687</v>
      </c>
      <c r="H426" s="53" t="s">
        <v>2688</v>
      </c>
      <c r="I426" s="52" t="s">
        <v>649</v>
      </c>
      <c r="J426" s="52" t="s">
        <v>751</v>
      </c>
      <c r="K426" s="54" t="s">
        <v>614</v>
      </c>
      <c r="L426" s="52" t="s">
        <v>615</v>
      </c>
      <c r="M426" s="45"/>
      <c r="N426" s="46"/>
      <c r="O426" s="47"/>
      <c r="P426" s="57"/>
      <c r="Q426" s="63"/>
      <c r="R426" s="47"/>
      <c r="S426" s="50"/>
    </row>
    <row r="427" spans="1:20" ht="15" customHeight="1" x14ac:dyDescent="0.4">
      <c r="A427">
        <f t="shared" si="6"/>
        <v>426</v>
      </c>
      <c r="B427" s="40" t="s">
        <v>605</v>
      </c>
      <c r="C427" s="51" t="s">
        <v>2689</v>
      </c>
      <c r="D427" s="52" t="s">
        <v>2690</v>
      </c>
      <c r="E427" s="52" t="s">
        <v>1290</v>
      </c>
      <c r="F427" s="52" t="s">
        <v>1199</v>
      </c>
      <c r="G427" s="52" t="s">
        <v>2691</v>
      </c>
      <c r="H427" s="53" t="s">
        <v>2692</v>
      </c>
      <c r="I427" s="52" t="s">
        <v>720</v>
      </c>
      <c r="J427" s="52" t="s">
        <v>735</v>
      </c>
      <c r="K427" s="54" t="s">
        <v>614</v>
      </c>
      <c r="L427" s="52" t="s">
        <v>643</v>
      </c>
      <c r="M427" s="45"/>
      <c r="N427" s="46"/>
      <c r="O427" s="47"/>
      <c r="P427" s="57"/>
      <c r="Q427" s="63"/>
      <c r="R427" s="47"/>
      <c r="S427" s="50"/>
    </row>
    <row r="428" spans="1:20" ht="15" customHeight="1" x14ac:dyDescent="0.4">
      <c r="A428">
        <f t="shared" si="6"/>
        <v>427</v>
      </c>
      <c r="B428" s="40" t="s">
        <v>605</v>
      </c>
      <c r="C428" s="51" t="s">
        <v>2693</v>
      </c>
      <c r="D428" s="52" t="s">
        <v>706</v>
      </c>
      <c r="E428" s="52" t="s">
        <v>1072</v>
      </c>
      <c r="F428" s="52" t="s">
        <v>2694</v>
      </c>
      <c r="G428" s="52" t="s">
        <v>2695</v>
      </c>
      <c r="H428" s="60" t="s">
        <v>2696</v>
      </c>
      <c r="I428" s="52" t="s">
        <v>1123</v>
      </c>
      <c r="J428" s="52" t="s">
        <v>728</v>
      </c>
      <c r="K428" s="54" t="s">
        <v>614</v>
      </c>
      <c r="L428" s="52" t="s">
        <v>643</v>
      </c>
      <c r="M428" s="80"/>
      <c r="N428" s="46"/>
      <c r="O428" s="47"/>
      <c r="P428" s="57"/>
      <c r="Q428" s="63"/>
      <c r="R428" s="47"/>
      <c r="S428" s="50"/>
    </row>
    <row r="429" spans="1:20" ht="15" customHeight="1" x14ac:dyDescent="0.4">
      <c r="A429">
        <f t="shared" si="6"/>
        <v>428</v>
      </c>
      <c r="B429" s="40" t="s">
        <v>605</v>
      </c>
      <c r="C429" s="41" t="s">
        <v>2697</v>
      </c>
      <c r="D429" s="42" t="s">
        <v>1065</v>
      </c>
      <c r="E429" s="42" t="s">
        <v>742</v>
      </c>
      <c r="F429" s="44" t="s">
        <v>2698</v>
      </c>
      <c r="G429" s="44" t="s">
        <v>2699</v>
      </c>
      <c r="H429" s="107" t="s">
        <v>2700</v>
      </c>
      <c r="I429" s="42" t="s">
        <v>774</v>
      </c>
      <c r="J429" s="42" t="s">
        <v>1069</v>
      </c>
      <c r="K429" s="54" t="s">
        <v>614</v>
      </c>
      <c r="L429" s="44" t="s">
        <v>643</v>
      </c>
      <c r="M429" s="45"/>
      <c r="N429" s="46"/>
      <c r="O429" s="47"/>
      <c r="P429" s="57"/>
      <c r="Q429" s="63"/>
      <c r="R429" s="47"/>
      <c r="S429" s="50"/>
    </row>
    <row r="430" spans="1:20" ht="15" customHeight="1" x14ac:dyDescent="0.4">
      <c r="A430">
        <f t="shared" si="6"/>
        <v>429</v>
      </c>
      <c r="B430" s="40" t="s">
        <v>605</v>
      </c>
      <c r="C430" s="51" t="s">
        <v>2701</v>
      </c>
      <c r="D430" s="52" t="s">
        <v>2702</v>
      </c>
      <c r="E430" s="52" t="s">
        <v>2703</v>
      </c>
      <c r="F430" s="52" t="s">
        <v>2704</v>
      </c>
      <c r="G430" s="52" t="s">
        <v>2705</v>
      </c>
      <c r="H430" s="59" t="s">
        <v>2706</v>
      </c>
      <c r="I430" s="52" t="s">
        <v>649</v>
      </c>
      <c r="J430" s="52" t="s">
        <v>613</v>
      </c>
      <c r="K430" s="54" t="s">
        <v>614</v>
      </c>
      <c r="L430" s="52" t="s">
        <v>615</v>
      </c>
      <c r="M430" s="62"/>
      <c r="N430" s="46"/>
      <c r="O430" s="47"/>
      <c r="P430" s="57"/>
      <c r="Q430" s="63"/>
      <c r="R430" s="47"/>
      <c r="S430" s="50"/>
    </row>
    <row r="431" spans="1:20" ht="15" customHeight="1" x14ac:dyDescent="0.4">
      <c r="A431">
        <f t="shared" si="6"/>
        <v>430</v>
      </c>
      <c r="B431" s="40" t="s">
        <v>605</v>
      </c>
      <c r="C431" s="51" t="s">
        <v>2707</v>
      </c>
      <c r="D431" s="52" t="s">
        <v>2708</v>
      </c>
      <c r="E431" s="52" t="s">
        <v>2709</v>
      </c>
      <c r="F431" s="52" t="s">
        <v>917</v>
      </c>
      <c r="G431" s="52" t="s">
        <v>2710</v>
      </c>
      <c r="H431" s="59" t="s">
        <v>2711</v>
      </c>
      <c r="I431" s="76" t="s">
        <v>649</v>
      </c>
      <c r="J431" s="109" t="s">
        <v>697</v>
      </c>
      <c r="K431" s="54" t="s">
        <v>614</v>
      </c>
      <c r="L431" s="76" t="s">
        <v>615</v>
      </c>
      <c r="M431" s="62"/>
      <c r="N431" s="46"/>
      <c r="O431" s="47"/>
      <c r="P431" s="57"/>
      <c r="Q431" s="63"/>
      <c r="R431" s="47"/>
      <c r="S431" s="50"/>
    </row>
    <row r="432" spans="1:20" ht="15" customHeight="1" x14ac:dyDescent="0.4">
      <c r="A432">
        <f t="shared" si="6"/>
        <v>431</v>
      </c>
      <c r="B432" s="40" t="s">
        <v>605</v>
      </c>
      <c r="C432" s="51" t="s">
        <v>2712</v>
      </c>
      <c r="D432" s="52" t="s">
        <v>2099</v>
      </c>
      <c r="E432" s="52" t="s">
        <v>2713</v>
      </c>
      <c r="F432" s="52" t="s">
        <v>2714</v>
      </c>
      <c r="G432" s="52" t="s">
        <v>2715</v>
      </c>
      <c r="H432" s="53" t="s">
        <v>2716</v>
      </c>
      <c r="I432" s="52" t="s">
        <v>720</v>
      </c>
      <c r="J432" s="52" t="s">
        <v>642</v>
      </c>
      <c r="K432" s="44" t="s">
        <v>614</v>
      </c>
      <c r="L432" s="52" t="s">
        <v>615</v>
      </c>
      <c r="M432" s="45"/>
      <c r="N432" s="46"/>
      <c r="O432" s="47"/>
      <c r="P432" s="57"/>
      <c r="Q432" s="63"/>
      <c r="R432" s="47"/>
      <c r="S432" s="50"/>
    </row>
    <row r="433" spans="1:20" ht="15" customHeight="1" x14ac:dyDescent="0.4">
      <c r="A433">
        <f t="shared" si="6"/>
        <v>432</v>
      </c>
      <c r="B433" s="40" t="s">
        <v>605</v>
      </c>
      <c r="C433" s="51" t="s">
        <v>2717</v>
      </c>
      <c r="D433" s="52" t="s">
        <v>2718</v>
      </c>
      <c r="E433" s="52" t="s">
        <v>2719</v>
      </c>
      <c r="F433" s="52" t="s">
        <v>717</v>
      </c>
      <c r="G433" s="52" t="s">
        <v>2720</v>
      </c>
      <c r="H433" s="53" t="s">
        <v>2721</v>
      </c>
      <c r="I433" s="53" t="s">
        <v>641</v>
      </c>
      <c r="J433" s="53" t="s">
        <v>728</v>
      </c>
      <c r="K433" s="54" t="s">
        <v>1196</v>
      </c>
      <c r="L433" s="52" t="s">
        <v>615</v>
      </c>
      <c r="M433" s="45"/>
      <c r="N433" s="46"/>
      <c r="O433" s="47"/>
      <c r="P433" s="57"/>
      <c r="Q433" s="63"/>
      <c r="R433" s="47"/>
      <c r="S433" s="50"/>
    </row>
    <row r="434" spans="1:20" ht="15" customHeight="1" x14ac:dyDescent="0.4">
      <c r="A434">
        <f t="shared" si="6"/>
        <v>433</v>
      </c>
      <c r="B434" s="40" t="s">
        <v>605</v>
      </c>
      <c r="C434" s="51" t="s">
        <v>2722</v>
      </c>
      <c r="D434" s="52" t="s">
        <v>2718</v>
      </c>
      <c r="E434" s="52" t="s">
        <v>1699</v>
      </c>
      <c r="F434" s="52" t="s">
        <v>765</v>
      </c>
      <c r="G434" s="52" t="s">
        <v>2723</v>
      </c>
      <c r="H434" s="82" t="s">
        <v>2724</v>
      </c>
      <c r="I434" s="52" t="s">
        <v>799</v>
      </c>
      <c r="J434" s="52" t="s">
        <v>751</v>
      </c>
      <c r="K434" s="54" t="s">
        <v>614</v>
      </c>
      <c r="L434" s="52" t="s">
        <v>615</v>
      </c>
      <c r="M434" s="56"/>
      <c r="N434" s="46"/>
      <c r="O434" s="95"/>
      <c r="P434" s="57"/>
      <c r="Q434" s="63"/>
      <c r="R434" s="47"/>
      <c r="S434" s="50"/>
    </row>
    <row r="435" spans="1:20" ht="15" customHeight="1" x14ac:dyDescent="0.4">
      <c r="A435">
        <f t="shared" si="6"/>
        <v>434</v>
      </c>
      <c r="B435" s="40" t="s">
        <v>605</v>
      </c>
      <c r="C435" s="41" t="s">
        <v>2725</v>
      </c>
      <c r="D435" s="42" t="s">
        <v>2726</v>
      </c>
      <c r="E435" s="42" t="s">
        <v>2713</v>
      </c>
      <c r="F435" s="42" t="s">
        <v>2727</v>
      </c>
      <c r="G435" s="42" t="s">
        <v>2728</v>
      </c>
      <c r="H435" s="82" t="s">
        <v>2729</v>
      </c>
      <c r="I435" s="42" t="s">
        <v>656</v>
      </c>
      <c r="J435" s="42" t="s">
        <v>642</v>
      </c>
      <c r="K435" s="44" t="s">
        <v>614</v>
      </c>
      <c r="L435" s="42" t="s">
        <v>615</v>
      </c>
      <c r="M435" s="45"/>
      <c r="N435" s="46"/>
      <c r="O435" s="47"/>
      <c r="P435" s="57"/>
      <c r="Q435" s="63"/>
      <c r="R435" s="47"/>
      <c r="S435" s="50"/>
    </row>
    <row r="436" spans="1:20" ht="15" customHeight="1" x14ac:dyDescent="0.4">
      <c r="A436">
        <f t="shared" si="6"/>
        <v>435</v>
      </c>
      <c r="B436" s="40" t="s">
        <v>605</v>
      </c>
      <c r="C436" s="51" t="s">
        <v>2730</v>
      </c>
      <c r="D436" s="52" t="s">
        <v>1699</v>
      </c>
      <c r="E436" s="52" t="s">
        <v>1364</v>
      </c>
      <c r="F436" s="52" t="s">
        <v>2731</v>
      </c>
      <c r="G436" s="52" t="s">
        <v>2732</v>
      </c>
      <c r="H436" s="53" t="s">
        <v>2733</v>
      </c>
      <c r="I436" s="52" t="s">
        <v>630</v>
      </c>
      <c r="J436" s="52" t="s">
        <v>623</v>
      </c>
      <c r="K436" s="52" t="s">
        <v>614</v>
      </c>
      <c r="L436" s="52" t="s">
        <v>615</v>
      </c>
      <c r="M436" s="45"/>
      <c r="N436" s="46"/>
      <c r="O436" s="47"/>
      <c r="P436" s="57"/>
      <c r="Q436" s="63"/>
      <c r="R436" s="47"/>
      <c r="S436" s="50"/>
    </row>
    <row r="437" spans="1:20" ht="15" customHeight="1" x14ac:dyDescent="0.4">
      <c r="A437">
        <f t="shared" si="6"/>
        <v>436</v>
      </c>
      <c r="B437" s="40" t="s">
        <v>605</v>
      </c>
      <c r="C437" s="51" t="s">
        <v>354</v>
      </c>
      <c r="D437" s="53" t="s">
        <v>1481</v>
      </c>
      <c r="E437" s="53" t="s">
        <v>2734</v>
      </c>
      <c r="F437" s="53" t="s">
        <v>2735</v>
      </c>
      <c r="G437" s="53" t="s">
        <v>2736</v>
      </c>
      <c r="H437" s="60" t="s">
        <v>79</v>
      </c>
      <c r="I437" s="52" t="s">
        <v>1691</v>
      </c>
      <c r="J437" s="53" t="s">
        <v>778</v>
      </c>
      <c r="K437" s="54" t="s">
        <v>614</v>
      </c>
      <c r="L437" s="52" t="s">
        <v>643</v>
      </c>
      <c r="M437" s="45"/>
      <c r="N437" s="46"/>
      <c r="O437" s="47"/>
      <c r="P437" s="57"/>
      <c r="Q437" s="63"/>
      <c r="R437" s="47"/>
      <c r="S437" s="50"/>
    </row>
    <row r="438" spans="1:20" ht="15" customHeight="1" x14ac:dyDescent="0.4">
      <c r="A438">
        <f t="shared" si="6"/>
        <v>437</v>
      </c>
      <c r="B438" s="40" t="s">
        <v>605</v>
      </c>
      <c r="C438" s="51" t="s">
        <v>2737</v>
      </c>
      <c r="D438" s="52" t="s">
        <v>2467</v>
      </c>
      <c r="E438" s="52" t="s">
        <v>2738</v>
      </c>
      <c r="F438" s="52" t="s">
        <v>2739</v>
      </c>
      <c r="G438" s="52" t="s">
        <v>2740</v>
      </c>
      <c r="H438" s="59" t="s">
        <v>2741</v>
      </c>
      <c r="I438" s="52" t="s">
        <v>649</v>
      </c>
      <c r="J438" s="52" t="s">
        <v>613</v>
      </c>
      <c r="K438" s="54" t="s">
        <v>614</v>
      </c>
      <c r="L438" s="52" t="s">
        <v>615</v>
      </c>
      <c r="M438" s="45"/>
      <c r="N438" s="46"/>
      <c r="O438" s="47"/>
      <c r="P438" s="57"/>
      <c r="Q438" s="63"/>
      <c r="R438" s="47"/>
      <c r="S438" s="74"/>
    </row>
    <row r="439" spans="1:20" ht="15" customHeight="1" x14ac:dyDescent="0.4">
      <c r="A439">
        <f t="shared" si="6"/>
        <v>438</v>
      </c>
      <c r="B439" s="40" t="s">
        <v>605</v>
      </c>
      <c r="C439" s="51" t="s">
        <v>2742</v>
      </c>
      <c r="D439" s="53" t="s">
        <v>795</v>
      </c>
      <c r="E439" s="53" t="s">
        <v>2743</v>
      </c>
      <c r="F439" s="53" t="s">
        <v>2744</v>
      </c>
      <c r="G439" s="53" t="s">
        <v>2745</v>
      </c>
      <c r="H439" s="60" t="s">
        <v>2746</v>
      </c>
      <c r="I439" s="52" t="s">
        <v>720</v>
      </c>
      <c r="J439" s="53" t="s">
        <v>1069</v>
      </c>
      <c r="K439" s="54" t="s">
        <v>614</v>
      </c>
      <c r="L439" s="52" t="s">
        <v>615</v>
      </c>
      <c r="M439" s="45"/>
      <c r="N439" s="46"/>
      <c r="O439" s="47"/>
      <c r="P439" s="47"/>
      <c r="Q439" s="48"/>
      <c r="R439" s="49"/>
      <c r="S439" s="50"/>
      <c r="T439" s="98"/>
    </row>
    <row r="440" spans="1:20" ht="15" customHeight="1" x14ac:dyDescent="0.4">
      <c r="A440">
        <f t="shared" si="6"/>
        <v>439</v>
      </c>
      <c r="B440" s="40" t="s">
        <v>605</v>
      </c>
      <c r="C440" s="41" t="s">
        <v>2747</v>
      </c>
      <c r="D440" s="42" t="s">
        <v>795</v>
      </c>
      <c r="E440" s="42" t="s">
        <v>716</v>
      </c>
      <c r="F440" s="42" t="s">
        <v>2748</v>
      </c>
      <c r="G440" s="42" t="s">
        <v>2749</v>
      </c>
      <c r="H440" s="90" t="s">
        <v>2750</v>
      </c>
      <c r="I440" s="42" t="s">
        <v>720</v>
      </c>
      <c r="J440" s="42" t="s">
        <v>657</v>
      </c>
      <c r="K440" s="44" t="s">
        <v>614</v>
      </c>
      <c r="L440" s="42" t="s">
        <v>615</v>
      </c>
      <c r="M440" s="45"/>
      <c r="N440" s="126"/>
      <c r="O440" s="42"/>
      <c r="P440" s="57"/>
      <c r="Q440" s="63"/>
      <c r="R440" s="68"/>
      <c r="S440" s="69"/>
      <c r="T440" s="33"/>
    </row>
    <row r="441" spans="1:20" ht="15" customHeight="1" x14ac:dyDescent="0.4">
      <c r="A441">
        <f t="shared" si="6"/>
        <v>440</v>
      </c>
      <c r="B441" s="40" t="s">
        <v>605</v>
      </c>
      <c r="C441" s="51" t="s">
        <v>2751</v>
      </c>
      <c r="D441" s="52" t="s">
        <v>2752</v>
      </c>
      <c r="E441" s="52" t="s">
        <v>716</v>
      </c>
      <c r="F441" s="52" t="s">
        <v>2753</v>
      </c>
      <c r="G441" s="52" t="s">
        <v>2754</v>
      </c>
      <c r="H441" s="60" t="s">
        <v>2755</v>
      </c>
      <c r="I441" s="52" t="s">
        <v>703</v>
      </c>
      <c r="J441" s="52" t="s">
        <v>613</v>
      </c>
      <c r="K441" s="54" t="s">
        <v>614</v>
      </c>
      <c r="L441" s="52" t="s">
        <v>615</v>
      </c>
      <c r="M441" s="45"/>
      <c r="N441" s="46"/>
      <c r="O441" s="47"/>
      <c r="P441" s="57"/>
      <c r="Q441" s="58"/>
      <c r="R441" s="47"/>
      <c r="S441" s="50"/>
    </row>
    <row r="442" spans="1:20" ht="15" customHeight="1" x14ac:dyDescent="0.4">
      <c r="A442">
        <f t="shared" si="6"/>
        <v>441</v>
      </c>
      <c r="B442" s="40" t="s">
        <v>605</v>
      </c>
      <c r="C442" s="51" t="s">
        <v>2756</v>
      </c>
      <c r="D442" s="52" t="s">
        <v>1994</v>
      </c>
      <c r="E442" s="53" t="s">
        <v>1221</v>
      </c>
      <c r="F442" s="53" t="s">
        <v>2757</v>
      </c>
      <c r="G442" s="53" t="s">
        <v>2758</v>
      </c>
      <c r="H442" s="53" t="s">
        <v>2759</v>
      </c>
      <c r="I442" s="52" t="s">
        <v>630</v>
      </c>
      <c r="J442" s="52" t="s">
        <v>669</v>
      </c>
      <c r="K442" s="52" t="s">
        <v>614</v>
      </c>
      <c r="L442" s="52" t="s">
        <v>615</v>
      </c>
      <c r="M442" s="62"/>
      <c r="N442" s="46"/>
      <c r="O442" s="47"/>
      <c r="P442" s="47"/>
      <c r="Q442" s="48"/>
      <c r="R442" s="49"/>
      <c r="S442" s="50"/>
      <c r="T442" s="98"/>
    </row>
    <row r="443" spans="1:20" ht="15" customHeight="1" x14ac:dyDescent="0.4">
      <c r="A443">
        <f t="shared" si="6"/>
        <v>442</v>
      </c>
      <c r="B443" s="40" t="s">
        <v>605</v>
      </c>
      <c r="C443" s="51" t="s">
        <v>2760</v>
      </c>
      <c r="D443" s="52" t="s">
        <v>1061</v>
      </c>
      <c r="E443" s="53" t="s">
        <v>903</v>
      </c>
      <c r="F443" s="53" t="s">
        <v>2761</v>
      </c>
      <c r="G443" s="53" t="s">
        <v>2762</v>
      </c>
      <c r="H443" s="53" t="s">
        <v>2763</v>
      </c>
      <c r="I443" s="52" t="s">
        <v>703</v>
      </c>
      <c r="J443" s="53" t="s">
        <v>669</v>
      </c>
      <c r="K443" s="52" t="s">
        <v>614</v>
      </c>
      <c r="L443" s="52" t="s">
        <v>615</v>
      </c>
      <c r="M443" s="45"/>
      <c r="N443" s="46"/>
      <c r="O443" s="47"/>
      <c r="P443" s="57"/>
      <c r="Q443" s="63"/>
      <c r="R443" s="47"/>
      <c r="S443" s="50"/>
      <c r="T443" s="98"/>
    </row>
    <row r="444" spans="1:20" ht="15" customHeight="1" x14ac:dyDescent="0.4">
      <c r="A444">
        <f t="shared" si="6"/>
        <v>443</v>
      </c>
      <c r="B444" s="40" t="s">
        <v>605</v>
      </c>
      <c r="C444" s="51" t="s">
        <v>2764</v>
      </c>
      <c r="D444" s="52" t="s">
        <v>1061</v>
      </c>
      <c r="E444" s="52" t="s">
        <v>2765</v>
      </c>
      <c r="F444" s="52" t="s">
        <v>2766</v>
      </c>
      <c r="G444" s="52" t="s">
        <v>2767</v>
      </c>
      <c r="H444" s="53" t="s">
        <v>2768</v>
      </c>
      <c r="I444" s="52" t="s">
        <v>703</v>
      </c>
      <c r="J444" s="52" t="s">
        <v>1086</v>
      </c>
      <c r="K444" s="54" t="s">
        <v>614</v>
      </c>
      <c r="L444" s="44" t="s">
        <v>615</v>
      </c>
      <c r="M444" s="45"/>
      <c r="N444" s="46"/>
      <c r="O444" s="47"/>
      <c r="P444" s="57"/>
      <c r="Q444" s="58"/>
      <c r="R444" s="47"/>
      <c r="S444" s="50"/>
      <c r="T444" s="98"/>
    </row>
    <row r="445" spans="1:20" ht="15" customHeight="1" x14ac:dyDescent="0.4">
      <c r="A445">
        <f t="shared" si="6"/>
        <v>444</v>
      </c>
      <c r="B445" s="40" t="s">
        <v>605</v>
      </c>
      <c r="C445" s="51" t="s">
        <v>2769</v>
      </c>
      <c r="D445" s="52" t="s">
        <v>848</v>
      </c>
      <c r="E445" s="52" t="s">
        <v>957</v>
      </c>
      <c r="F445" s="52" t="s">
        <v>2770</v>
      </c>
      <c r="G445" s="52" t="s">
        <v>2771</v>
      </c>
      <c r="H445" s="59" t="s">
        <v>2772</v>
      </c>
      <c r="I445" s="52" t="s">
        <v>683</v>
      </c>
      <c r="J445" s="52" t="s">
        <v>704</v>
      </c>
      <c r="K445" s="54" t="s">
        <v>614</v>
      </c>
      <c r="L445" s="52" t="s">
        <v>643</v>
      </c>
      <c r="M445" s="45"/>
      <c r="N445" s="46"/>
      <c r="O445" s="47"/>
      <c r="P445" s="57"/>
      <c r="Q445" s="58"/>
      <c r="R445" s="47"/>
      <c r="S445" s="50"/>
      <c r="T445" s="98"/>
    </row>
    <row r="446" spans="1:20" ht="15" customHeight="1" x14ac:dyDescent="0.4">
      <c r="A446">
        <f t="shared" si="6"/>
        <v>445</v>
      </c>
      <c r="B446" s="40" t="s">
        <v>605</v>
      </c>
      <c r="C446" s="41" t="s">
        <v>2773</v>
      </c>
      <c r="D446" s="52" t="s">
        <v>848</v>
      </c>
      <c r="E446" s="42" t="s">
        <v>1057</v>
      </c>
      <c r="F446" s="42" t="s">
        <v>2774</v>
      </c>
      <c r="G446" s="42" t="s">
        <v>2775</v>
      </c>
      <c r="H446" s="43" t="s">
        <v>2776</v>
      </c>
      <c r="I446" s="42" t="s">
        <v>612</v>
      </c>
      <c r="J446" s="42" t="s">
        <v>631</v>
      </c>
      <c r="K446" s="42" t="s">
        <v>614</v>
      </c>
      <c r="L446" s="42" t="s">
        <v>615</v>
      </c>
      <c r="M446" s="45"/>
      <c r="N446" s="126"/>
      <c r="O446" s="42"/>
      <c r="P446" s="57"/>
      <c r="Q446" s="58"/>
      <c r="R446" s="47"/>
      <c r="S446" s="69"/>
      <c r="T446" s="33"/>
    </row>
    <row r="447" spans="1:20" ht="15" customHeight="1" x14ac:dyDescent="0.4">
      <c r="A447">
        <f t="shared" si="6"/>
        <v>446</v>
      </c>
      <c r="B447" s="40" t="s">
        <v>605</v>
      </c>
      <c r="C447" s="41" t="s">
        <v>2777</v>
      </c>
      <c r="D447" s="44" t="s">
        <v>848</v>
      </c>
      <c r="E447" s="44" t="s">
        <v>2778</v>
      </c>
      <c r="F447" s="44" t="s">
        <v>2779</v>
      </c>
      <c r="G447" s="44" t="s">
        <v>2780</v>
      </c>
      <c r="H447" s="59" t="s">
        <v>2781</v>
      </c>
      <c r="I447" s="42" t="s">
        <v>641</v>
      </c>
      <c r="J447" s="42" t="s">
        <v>1033</v>
      </c>
      <c r="K447" s="42" t="s">
        <v>614</v>
      </c>
      <c r="L447" s="79" t="s">
        <v>643</v>
      </c>
      <c r="M447" s="150"/>
      <c r="N447" s="46"/>
      <c r="O447" s="47"/>
      <c r="P447" s="57"/>
      <c r="Q447" s="58"/>
      <c r="R447" s="47"/>
      <c r="S447" s="50"/>
      <c r="T447" s="98"/>
    </row>
    <row r="448" spans="1:20" ht="15" customHeight="1" x14ac:dyDescent="0.4">
      <c r="A448">
        <f t="shared" si="6"/>
        <v>447</v>
      </c>
      <c r="B448" s="40" t="s">
        <v>605</v>
      </c>
      <c r="C448" s="41" t="s">
        <v>2782</v>
      </c>
      <c r="D448" s="42" t="s">
        <v>848</v>
      </c>
      <c r="E448" s="44" t="s">
        <v>711</v>
      </c>
      <c r="F448" s="44" t="s">
        <v>2783</v>
      </c>
      <c r="G448" s="44" t="s">
        <v>2784</v>
      </c>
      <c r="H448" s="59" t="s">
        <v>2785</v>
      </c>
      <c r="I448" s="42" t="s">
        <v>656</v>
      </c>
      <c r="J448" s="42" t="s">
        <v>735</v>
      </c>
      <c r="K448" s="42" t="s">
        <v>614</v>
      </c>
      <c r="L448" s="44" t="s">
        <v>615</v>
      </c>
      <c r="M448" s="80"/>
      <c r="N448" s="46"/>
      <c r="O448" s="47"/>
      <c r="P448" s="57"/>
      <c r="Q448" s="58"/>
      <c r="R448" s="47"/>
      <c r="S448" s="50"/>
      <c r="T448" s="98"/>
    </row>
    <row r="449" spans="1:20" ht="15" customHeight="1" x14ac:dyDescent="0.4">
      <c r="A449">
        <f t="shared" si="6"/>
        <v>448</v>
      </c>
      <c r="B449" s="40" t="s">
        <v>605</v>
      </c>
      <c r="C449" s="51" t="s">
        <v>301</v>
      </c>
      <c r="D449" s="52" t="s">
        <v>2786</v>
      </c>
      <c r="E449" s="52" t="s">
        <v>2787</v>
      </c>
      <c r="F449" s="52" t="s">
        <v>2788</v>
      </c>
      <c r="G449" s="52" t="s">
        <v>2789</v>
      </c>
      <c r="H449" s="82" t="s">
        <v>99</v>
      </c>
      <c r="I449" s="52" t="s">
        <v>1154</v>
      </c>
      <c r="J449" s="52" t="s">
        <v>778</v>
      </c>
      <c r="K449" s="42" t="s">
        <v>614</v>
      </c>
      <c r="L449" s="52" t="s">
        <v>615</v>
      </c>
      <c r="M449" s="45"/>
      <c r="N449" s="46"/>
      <c r="O449" s="47"/>
      <c r="P449" s="47"/>
      <c r="Q449" s="48"/>
      <c r="R449" s="49"/>
      <c r="S449" s="49"/>
    </row>
    <row r="450" spans="1:20" ht="15" customHeight="1" x14ac:dyDescent="0.4">
      <c r="A450">
        <f t="shared" si="6"/>
        <v>449</v>
      </c>
      <c r="B450" s="40" t="s">
        <v>605</v>
      </c>
      <c r="C450" s="51" t="s">
        <v>442</v>
      </c>
      <c r="D450" s="52" t="s">
        <v>2790</v>
      </c>
      <c r="E450" s="52" t="s">
        <v>2519</v>
      </c>
      <c r="F450" s="52" t="s">
        <v>2791</v>
      </c>
      <c r="G450" s="52" t="s">
        <v>2792</v>
      </c>
      <c r="H450" s="107" t="s">
        <v>57</v>
      </c>
      <c r="I450" s="52" t="s">
        <v>1107</v>
      </c>
      <c r="J450" s="52" t="s">
        <v>778</v>
      </c>
      <c r="K450" s="42" t="s">
        <v>614</v>
      </c>
      <c r="L450" s="52" t="s">
        <v>643</v>
      </c>
      <c r="M450" s="45"/>
      <c r="N450" s="46"/>
      <c r="O450" s="47"/>
      <c r="P450" s="67"/>
      <c r="Q450" s="48"/>
      <c r="R450" s="49"/>
      <c r="S450" s="151"/>
    </row>
    <row r="451" spans="1:20" ht="15" customHeight="1" x14ac:dyDescent="0.4">
      <c r="A451">
        <f t="shared" si="6"/>
        <v>450</v>
      </c>
      <c r="B451" s="40" t="s">
        <v>605</v>
      </c>
      <c r="C451" s="51" t="s">
        <v>414</v>
      </c>
      <c r="D451" s="52" t="s">
        <v>2793</v>
      </c>
      <c r="E451" s="52" t="s">
        <v>652</v>
      </c>
      <c r="F451" s="52" t="s">
        <v>2794</v>
      </c>
      <c r="G451" s="52" t="s">
        <v>2795</v>
      </c>
      <c r="H451" s="53" t="s">
        <v>172</v>
      </c>
      <c r="I451" s="52" t="s">
        <v>2796</v>
      </c>
      <c r="J451" s="52" t="s">
        <v>778</v>
      </c>
      <c r="K451" s="42" t="s">
        <v>614</v>
      </c>
      <c r="L451" s="52" t="s">
        <v>643</v>
      </c>
      <c r="M451" s="80"/>
      <c r="N451" s="46"/>
      <c r="O451" s="47"/>
      <c r="P451" s="57"/>
      <c r="Q451" s="58"/>
      <c r="R451" s="47"/>
      <c r="S451" s="50"/>
      <c r="T451" s="98"/>
    </row>
    <row r="452" spans="1:20" ht="15" customHeight="1" x14ac:dyDescent="0.4">
      <c r="A452">
        <f t="shared" ref="A452:A515" si="7">A451+1</f>
        <v>451</v>
      </c>
      <c r="B452" s="40" t="s">
        <v>605</v>
      </c>
      <c r="C452" s="51" t="s">
        <v>472</v>
      </c>
      <c r="D452" s="53" t="s">
        <v>2797</v>
      </c>
      <c r="E452" s="33" t="s">
        <v>2790</v>
      </c>
      <c r="F452" s="53" t="s">
        <v>2798</v>
      </c>
      <c r="G452" s="53" t="s">
        <v>2799</v>
      </c>
      <c r="H452" s="83" t="s">
        <v>2800</v>
      </c>
      <c r="I452" s="52" t="s">
        <v>2801</v>
      </c>
      <c r="J452" s="52" t="s">
        <v>778</v>
      </c>
      <c r="K452" s="42" t="s">
        <v>614</v>
      </c>
      <c r="L452" s="52" t="s">
        <v>615</v>
      </c>
      <c r="M452" s="45"/>
      <c r="N452" s="46"/>
      <c r="O452" s="47"/>
      <c r="P452" s="57"/>
      <c r="Q452" s="96"/>
      <c r="R452" s="67"/>
      <c r="S452" s="152"/>
    </row>
    <row r="453" spans="1:20" ht="15" customHeight="1" x14ac:dyDescent="0.4">
      <c r="A453">
        <f t="shared" si="7"/>
        <v>452</v>
      </c>
      <c r="B453" s="40" t="s">
        <v>605</v>
      </c>
      <c r="C453" s="41" t="s">
        <v>296</v>
      </c>
      <c r="D453" s="52" t="s">
        <v>1088</v>
      </c>
      <c r="E453" s="42" t="s">
        <v>1000</v>
      </c>
      <c r="F453" s="42" t="s">
        <v>2802</v>
      </c>
      <c r="G453" s="42" t="s">
        <v>2803</v>
      </c>
      <c r="H453" s="59" t="s">
        <v>90</v>
      </c>
      <c r="I453" s="42" t="s">
        <v>1154</v>
      </c>
      <c r="J453" s="42" t="s">
        <v>778</v>
      </c>
      <c r="K453" s="42" t="s">
        <v>614</v>
      </c>
      <c r="L453" s="52" t="s">
        <v>615</v>
      </c>
      <c r="M453" s="45"/>
      <c r="N453" s="46"/>
      <c r="O453" s="47"/>
      <c r="P453" s="153"/>
      <c r="Q453" s="154"/>
      <c r="R453" s="47"/>
      <c r="S453" s="49"/>
      <c r="T453" s="98"/>
    </row>
    <row r="454" spans="1:20" ht="15" customHeight="1" x14ac:dyDescent="0.4">
      <c r="A454">
        <f t="shared" si="7"/>
        <v>453</v>
      </c>
      <c r="B454" s="40" t="s">
        <v>605</v>
      </c>
      <c r="C454" s="51" t="s">
        <v>2804</v>
      </c>
      <c r="D454" s="52" t="s">
        <v>1273</v>
      </c>
      <c r="E454" s="52" t="s">
        <v>659</v>
      </c>
      <c r="F454" s="52" t="s">
        <v>2805</v>
      </c>
      <c r="G454" s="52" t="s">
        <v>2806</v>
      </c>
      <c r="H454" s="60" t="s">
        <v>2807</v>
      </c>
      <c r="I454" s="52" t="s">
        <v>649</v>
      </c>
      <c r="J454" s="52" t="s">
        <v>704</v>
      </c>
      <c r="K454" s="42" t="s">
        <v>614</v>
      </c>
      <c r="L454" s="52" t="s">
        <v>615</v>
      </c>
      <c r="M454" s="45"/>
      <c r="N454" s="46"/>
      <c r="O454" s="47"/>
      <c r="P454" s="57"/>
      <c r="Q454" s="63"/>
      <c r="R454" s="47"/>
      <c r="S454" s="50"/>
    </row>
    <row r="455" spans="1:20" ht="15" customHeight="1" x14ac:dyDescent="0.4">
      <c r="A455">
        <f t="shared" si="7"/>
        <v>454</v>
      </c>
      <c r="B455" s="40" t="s">
        <v>605</v>
      </c>
      <c r="C455" s="51" t="s">
        <v>2808</v>
      </c>
      <c r="D455" s="52" t="s">
        <v>1273</v>
      </c>
      <c r="E455" s="53" t="s">
        <v>1606</v>
      </c>
      <c r="F455" s="53" t="s">
        <v>2809</v>
      </c>
      <c r="G455" s="53" t="s">
        <v>2810</v>
      </c>
      <c r="H455" s="75" t="s">
        <v>2811</v>
      </c>
      <c r="I455" s="52" t="s">
        <v>641</v>
      </c>
      <c r="J455" s="53" t="s">
        <v>664</v>
      </c>
      <c r="K455" s="52" t="s">
        <v>614</v>
      </c>
      <c r="L455" s="52" t="s">
        <v>643</v>
      </c>
      <c r="M455" s="45"/>
      <c r="N455" s="46"/>
      <c r="O455" s="47"/>
      <c r="P455" s="57"/>
      <c r="Q455" s="63"/>
      <c r="R455" s="68"/>
      <c r="S455" s="81"/>
      <c r="T455" s="98"/>
    </row>
    <row r="456" spans="1:20" ht="15" customHeight="1" x14ac:dyDescent="0.4">
      <c r="A456">
        <f t="shared" si="7"/>
        <v>455</v>
      </c>
      <c r="B456" s="40" t="s">
        <v>605</v>
      </c>
      <c r="C456" s="51" t="s">
        <v>2812</v>
      </c>
      <c r="D456" s="52" t="s">
        <v>2142</v>
      </c>
      <c r="E456" s="52" t="s">
        <v>1551</v>
      </c>
      <c r="F456" s="52" t="s">
        <v>2813</v>
      </c>
      <c r="G456" s="52" t="s">
        <v>2814</v>
      </c>
      <c r="H456" s="53" t="s">
        <v>2815</v>
      </c>
      <c r="I456" s="52" t="s">
        <v>720</v>
      </c>
      <c r="J456" s="52" t="s">
        <v>1086</v>
      </c>
      <c r="K456" s="52" t="s">
        <v>614</v>
      </c>
      <c r="L456" s="52" t="s">
        <v>615</v>
      </c>
      <c r="M456" s="45"/>
      <c r="N456" s="46"/>
      <c r="O456" s="47"/>
      <c r="P456" s="47"/>
      <c r="Q456" s="48"/>
      <c r="R456" s="49"/>
      <c r="S456" s="50"/>
      <c r="T456" s="98"/>
    </row>
    <row r="457" spans="1:20" ht="15" customHeight="1" x14ac:dyDescent="0.4">
      <c r="A457">
        <f t="shared" si="7"/>
        <v>456</v>
      </c>
      <c r="B457" s="40" t="s">
        <v>605</v>
      </c>
      <c r="C457" s="51" t="s">
        <v>2816</v>
      </c>
      <c r="D457" s="52" t="s">
        <v>2817</v>
      </c>
      <c r="E457" s="52" t="s">
        <v>2818</v>
      </c>
      <c r="F457" s="52" t="s">
        <v>2819</v>
      </c>
      <c r="G457" s="52" t="s">
        <v>2820</v>
      </c>
      <c r="H457" s="82" t="s">
        <v>2821</v>
      </c>
      <c r="I457" s="52" t="s">
        <v>703</v>
      </c>
      <c r="J457" s="52" t="s">
        <v>613</v>
      </c>
      <c r="K457" s="52" t="s">
        <v>614</v>
      </c>
      <c r="L457" s="52" t="s">
        <v>615</v>
      </c>
      <c r="M457" s="45"/>
      <c r="N457" s="46"/>
      <c r="O457" s="47"/>
      <c r="P457" s="72"/>
      <c r="Q457" s="63"/>
      <c r="R457" s="47"/>
      <c r="S457" s="50"/>
    </row>
    <row r="458" spans="1:20" ht="15" customHeight="1" x14ac:dyDescent="0.4">
      <c r="A458">
        <f t="shared" si="7"/>
        <v>457</v>
      </c>
      <c r="B458" s="40" t="s">
        <v>605</v>
      </c>
      <c r="C458" s="51" t="s">
        <v>2822</v>
      </c>
      <c r="D458" s="52" t="s">
        <v>2823</v>
      </c>
      <c r="E458" s="52" t="s">
        <v>2824</v>
      </c>
      <c r="F458" s="52" t="s">
        <v>2825</v>
      </c>
      <c r="G458" s="52" t="s">
        <v>2826</v>
      </c>
      <c r="H458" s="60" t="s">
        <v>2827</v>
      </c>
      <c r="I458" s="52" t="s">
        <v>720</v>
      </c>
      <c r="J458" s="52" t="s">
        <v>1086</v>
      </c>
      <c r="K458" s="52" t="s">
        <v>614</v>
      </c>
      <c r="L458" s="52" t="s">
        <v>615</v>
      </c>
      <c r="M458" s="45"/>
      <c r="N458" s="46"/>
      <c r="O458" s="47"/>
      <c r="P458" s="47"/>
      <c r="Q458" s="48"/>
      <c r="R458" s="49"/>
      <c r="S458" s="50"/>
      <c r="T458" s="98"/>
    </row>
    <row r="459" spans="1:20" ht="15" customHeight="1" x14ac:dyDescent="0.4">
      <c r="A459">
        <f t="shared" si="7"/>
        <v>458</v>
      </c>
      <c r="B459" s="40" t="s">
        <v>605</v>
      </c>
      <c r="C459" s="51" t="s">
        <v>2828</v>
      </c>
      <c r="D459" s="52" t="s">
        <v>2829</v>
      </c>
      <c r="E459" s="52" t="s">
        <v>2830</v>
      </c>
      <c r="F459" s="52" t="s">
        <v>2305</v>
      </c>
      <c r="G459" s="52" t="s">
        <v>2831</v>
      </c>
      <c r="H459" s="53" t="s">
        <v>2832</v>
      </c>
      <c r="I459" s="52" t="s">
        <v>703</v>
      </c>
      <c r="J459" s="52" t="s">
        <v>623</v>
      </c>
      <c r="K459" s="54" t="s">
        <v>614</v>
      </c>
      <c r="L459" s="52" t="s">
        <v>615</v>
      </c>
      <c r="M459" s="45"/>
      <c r="N459" s="46"/>
      <c r="O459" s="47"/>
      <c r="P459" s="57"/>
      <c r="Q459" s="63"/>
      <c r="R459" s="68"/>
      <c r="S459" s="50"/>
      <c r="T459" s="98"/>
    </row>
    <row r="460" spans="1:20" ht="15" customHeight="1" x14ac:dyDescent="0.4">
      <c r="A460">
        <f t="shared" si="7"/>
        <v>459</v>
      </c>
      <c r="B460" s="40" t="s">
        <v>605</v>
      </c>
      <c r="C460" s="84" t="s">
        <v>321</v>
      </c>
      <c r="D460" s="85" t="s">
        <v>1994</v>
      </c>
      <c r="E460" s="85" t="s">
        <v>699</v>
      </c>
      <c r="F460" s="85" t="s">
        <v>2833</v>
      </c>
      <c r="G460" s="85" t="s">
        <v>2834</v>
      </c>
      <c r="H460" s="86" t="s">
        <v>45</v>
      </c>
      <c r="I460" s="85" t="s">
        <v>612</v>
      </c>
      <c r="J460" s="85" t="s">
        <v>778</v>
      </c>
      <c r="K460" s="132" t="s">
        <v>614</v>
      </c>
      <c r="L460" s="85" t="s">
        <v>643</v>
      </c>
      <c r="M460" s="89"/>
      <c r="N460" s="46"/>
      <c r="O460" s="47"/>
      <c r="P460" s="57"/>
      <c r="Q460" s="63"/>
      <c r="R460" s="47"/>
      <c r="S460" s="50"/>
      <c r="T460" s="98"/>
    </row>
    <row r="461" spans="1:20" ht="15" customHeight="1" x14ac:dyDescent="0.4">
      <c r="A461">
        <f t="shared" si="7"/>
        <v>460</v>
      </c>
      <c r="B461" s="40" t="s">
        <v>605</v>
      </c>
      <c r="C461" s="51" t="s">
        <v>2835</v>
      </c>
      <c r="D461" s="52" t="s">
        <v>2836</v>
      </c>
      <c r="E461" s="52" t="s">
        <v>864</v>
      </c>
      <c r="F461" s="52" t="s">
        <v>2837</v>
      </c>
      <c r="G461" s="52" t="s">
        <v>2838</v>
      </c>
      <c r="H461" s="59" t="s">
        <v>2839</v>
      </c>
      <c r="I461" s="52" t="s">
        <v>612</v>
      </c>
      <c r="J461" s="52" t="s">
        <v>813</v>
      </c>
      <c r="K461" s="52" t="s">
        <v>614</v>
      </c>
      <c r="L461" s="52" t="s">
        <v>615</v>
      </c>
      <c r="M461" s="45"/>
      <c r="N461" s="155"/>
      <c r="O461" s="53"/>
      <c r="P461" s="57"/>
      <c r="Q461" s="63"/>
      <c r="R461" s="68"/>
      <c r="S461" s="69"/>
      <c r="T461" s="33"/>
    </row>
    <row r="462" spans="1:20" ht="15" customHeight="1" x14ac:dyDescent="0.4">
      <c r="A462">
        <f t="shared" si="7"/>
        <v>461</v>
      </c>
      <c r="B462" s="40" t="s">
        <v>605</v>
      </c>
      <c r="C462" s="51" t="s">
        <v>2840</v>
      </c>
      <c r="D462" s="52" t="s">
        <v>2836</v>
      </c>
      <c r="E462" s="52" t="s">
        <v>864</v>
      </c>
      <c r="F462" s="52" t="s">
        <v>2841</v>
      </c>
      <c r="G462" s="52" t="s">
        <v>2842</v>
      </c>
      <c r="H462" s="53" t="s">
        <v>2843</v>
      </c>
      <c r="I462" s="53" t="s">
        <v>622</v>
      </c>
      <c r="J462" s="53" t="s">
        <v>613</v>
      </c>
      <c r="K462" s="53" t="s">
        <v>614</v>
      </c>
      <c r="L462" s="52" t="s">
        <v>615</v>
      </c>
      <c r="M462" s="45"/>
      <c r="N462" s="46"/>
      <c r="O462" s="47"/>
      <c r="P462" s="47"/>
      <c r="Q462" s="48"/>
      <c r="R462" s="49"/>
      <c r="S462" s="50"/>
    </row>
    <row r="463" spans="1:20" ht="15" customHeight="1" x14ac:dyDescent="0.4">
      <c r="A463">
        <f t="shared" si="7"/>
        <v>462</v>
      </c>
      <c r="B463" s="40" t="s">
        <v>605</v>
      </c>
      <c r="C463" s="41" t="s">
        <v>2844</v>
      </c>
      <c r="D463" s="42" t="s">
        <v>2845</v>
      </c>
      <c r="E463" s="42" t="s">
        <v>1426</v>
      </c>
      <c r="F463" s="42" t="s">
        <v>2846</v>
      </c>
      <c r="G463" s="42" t="s">
        <v>2847</v>
      </c>
      <c r="H463" s="44" t="s">
        <v>2848</v>
      </c>
      <c r="I463" s="44" t="s">
        <v>720</v>
      </c>
      <c r="J463" s="44" t="s">
        <v>825</v>
      </c>
      <c r="K463" s="53" t="s">
        <v>614</v>
      </c>
      <c r="L463" s="42" t="s">
        <v>615</v>
      </c>
      <c r="M463" s="80"/>
      <c r="N463" s="46"/>
      <c r="O463" s="47"/>
      <c r="P463" s="47"/>
      <c r="Q463" s="48"/>
      <c r="R463" s="49"/>
      <c r="S463" s="50"/>
      <c r="T463" s="98"/>
    </row>
    <row r="464" spans="1:20" ht="15" customHeight="1" x14ac:dyDescent="0.4">
      <c r="A464">
        <f t="shared" si="7"/>
        <v>463</v>
      </c>
      <c r="B464" s="40" t="s">
        <v>605</v>
      </c>
      <c r="C464" s="41" t="s">
        <v>2849</v>
      </c>
      <c r="D464" s="42" t="s">
        <v>2850</v>
      </c>
      <c r="E464" s="42" t="s">
        <v>2851</v>
      </c>
      <c r="F464" s="42" t="s">
        <v>2852</v>
      </c>
      <c r="G464" s="42" t="s">
        <v>2853</v>
      </c>
      <c r="H464" s="107" t="s">
        <v>2854</v>
      </c>
      <c r="I464" s="42" t="s">
        <v>683</v>
      </c>
      <c r="J464" s="42" t="s">
        <v>650</v>
      </c>
      <c r="K464" s="53" t="s">
        <v>614</v>
      </c>
      <c r="L464" s="44" t="s">
        <v>643</v>
      </c>
      <c r="M464" s="45"/>
      <c r="N464" s="46"/>
      <c r="O464" s="47"/>
      <c r="P464" s="47"/>
      <c r="Q464" s="48"/>
      <c r="R464" s="49"/>
      <c r="S464" s="50"/>
      <c r="T464" s="98"/>
    </row>
    <row r="465" spans="1:20" ht="15" customHeight="1" x14ac:dyDescent="0.4">
      <c r="A465">
        <f t="shared" si="7"/>
        <v>464</v>
      </c>
      <c r="B465" s="40" t="s">
        <v>605</v>
      </c>
      <c r="C465" s="51" t="s">
        <v>2855</v>
      </c>
      <c r="D465" s="53" t="s">
        <v>2856</v>
      </c>
      <c r="E465" s="53" t="s">
        <v>832</v>
      </c>
      <c r="F465" s="53" t="s">
        <v>2857</v>
      </c>
      <c r="G465" s="53" t="s">
        <v>2858</v>
      </c>
      <c r="H465" s="59" t="s">
        <v>2859</v>
      </c>
      <c r="I465" s="52" t="s">
        <v>1032</v>
      </c>
      <c r="J465" s="52" t="s">
        <v>836</v>
      </c>
      <c r="K465" s="53" t="s">
        <v>614</v>
      </c>
      <c r="L465" s="52" t="s">
        <v>615</v>
      </c>
      <c r="M465" s="45"/>
      <c r="N465" s="46"/>
      <c r="O465" s="47"/>
      <c r="P465" s="47"/>
      <c r="Q465" s="48"/>
      <c r="R465" s="49"/>
      <c r="S465" s="50"/>
      <c r="T465" s="98"/>
    </row>
    <row r="466" spans="1:20" ht="15" customHeight="1" x14ac:dyDescent="0.4">
      <c r="A466">
        <f t="shared" si="7"/>
        <v>465</v>
      </c>
      <c r="B466" s="40" t="s">
        <v>605</v>
      </c>
      <c r="C466" s="51" t="s">
        <v>2860</v>
      </c>
      <c r="D466" s="53" t="s">
        <v>2861</v>
      </c>
      <c r="E466" s="53" t="s">
        <v>1497</v>
      </c>
      <c r="F466" s="53" t="s">
        <v>2862</v>
      </c>
      <c r="G466" s="53" t="s">
        <v>2863</v>
      </c>
      <c r="H466" s="59" t="s">
        <v>2864</v>
      </c>
      <c r="I466" s="52" t="s">
        <v>2865</v>
      </c>
      <c r="J466" s="52" t="s">
        <v>637</v>
      </c>
      <c r="K466" s="53" t="s">
        <v>614</v>
      </c>
      <c r="L466" s="52" t="s">
        <v>615</v>
      </c>
      <c r="M466" s="45"/>
      <c r="N466" s="46"/>
      <c r="O466" s="47"/>
      <c r="P466" s="47"/>
      <c r="Q466" s="48"/>
      <c r="R466" s="49"/>
      <c r="S466" s="50"/>
      <c r="T466" s="98"/>
    </row>
    <row r="467" spans="1:20" ht="15" customHeight="1" x14ac:dyDescent="0.4">
      <c r="A467">
        <f t="shared" si="7"/>
        <v>466</v>
      </c>
      <c r="B467" s="40" t="s">
        <v>605</v>
      </c>
      <c r="C467" s="51" t="s">
        <v>2866</v>
      </c>
      <c r="D467" s="53" t="s">
        <v>821</v>
      </c>
      <c r="E467" s="53" t="s">
        <v>2867</v>
      </c>
      <c r="F467" s="53" t="s">
        <v>2868</v>
      </c>
      <c r="G467" s="53" t="s">
        <v>2869</v>
      </c>
      <c r="H467" s="59" t="s">
        <v>2870</v>
      </c>
      <c r="I467" s="52" t="s">
        <v>622</v>
      </c>
      <c r="J467" s="52" t="s">
        <v>631</v>
      </c>
      <c r="K467" s="53" t="s">
        <v>614</v>
      </c>
      <c r="L467" s="97" t="s">
        <v>615</v>
      </c>
      <c r="M467" s="45"/>
      <c r="N467" s="46"/>
      <c r="O467" s="47"/>
      <c r="P467" s="47"/>
      <c r="Q467" s="48"/>
      <c r="R467" s="49"/>
      <c r="S467" s="50"/>
      <c r="T467" s="98"/>
    </row>
    <row r="468" spans="1:20" ht="15" customHeight="1" x14ac:dyDescent="0.4">
      <c r="A468">
        <f t="shared" si="7"/>
        <v>467</v>
      </c>
      <c r="B468" s="40" t="s">
        <v>605</v>
      </c>
      <c r="C468" s="51" t="s">
        <v>2871</v>
      </c>
      <c r="D468" s="53" t="s">
        <v>2872</v>
      </c>
      <c r="E468" s="53" t="s">
        <v>975</v>
      </c>
      <c r="F468" s="53" t="s">
        <v>2873</v>
      </c>
      <c r="G468" s="53" t="s">
        <v>2874</v>
      </c>
      <c r="H468" s="59" t="s">
        <v>2875</v>
      </c>
      <c r="I468" s="52" t="s">
        <v>727</v>
      </c>
      <c r="J468" s="52" t="s">
        <v>721</v>
      </c>
      <c r="K468" s="53" t="s">
        <v>614</v>
      </c>
      <c r="L468" s="97" t="s">
        <v>643</v>
      </c>
      <c r="M468" s="45"/>
      <c r="N468" s="46"/>
      <c r="O468" s="47"/>
      <c r="P468" s="57"/>
      <c r="Q468" s="63"/>
      <c r="R468" s="47"/>
      <c r="S468" s="50"/>
      <c r="T468" s="98"/>
    </row>
    <row r="469" spans="1:20" ht="15" customHeight="1" x14ac:dyDescent="0.4">
      <c r="A469">
        <f t="shared" si="7"/>
        <v>468</v>
      </c>
      <c r="B469" s="40" t="s">
        <v>605</v>
      </c>
      <c r="C469" s="51" t="s">
        <v>2876</v>
      </c>
      <c r="D469" s="53" t="s">
        <v>679</v>
      </c>
      <c r="E469" s="53" t="s">
        <v>815</v>
      </c>
      <c r="F469" s="53" t="s">
        <v>2877</v>
      </c>
      <c r="G469" s="53" t="s">
        <v>2878</v>
      </c>
      <c r="H469" s="59" t="s">
        <v>2879</v>
      </c>
      <c r="I469" s="52" t="s">
        <v>641</v>
      </c>
      <c r="J469" s="52" t="s">
        <v>721</v>
      </c>
      <c r="K469" s="53" t="s">
        <v>614</v>
      </c>
      <c r="L469" s="97" t="s">
        <v>643</v>
      </c>
      <c r="M469" s="45"/>
      <c r="N469" s="46"/>
      <c r="O469" s="47"/>
      <c r="P469" s="57"/>
      <c r="Q469" s="63"/>
      <c r="R469" s="47"/>
      <c r="S469" s="50"/>
      <c r="T469" s="98"/>
    </row>
    <row r="470" spans="1:20" ht="15" customHeight="1" x14ac:dyDescent="0.4">
      <c r="A470">
        <f t="shared" si="7"/>
        <v>469</v>
      </c>
      <c r="B470" s="40" t="s">
        <v>605</v>
      </c>
      <c r="C470" s="51" t="s">
        <v>2880</v>
      </c>
      <c r="D470" s="53" t="s">
        <v>679</v>
      </c>
      <c r="E470" s="53" t="s">
        <v>1109</v>
      </c>
      <c r="F470" s="53" t="s">
        <v>2881</v>
      </c>
      <c r="G470" s="53" t="s">
        <v>2882</v>
      </c>
      <c r="H470" s="156" t="s">
        <v>2883</v>
      </c>
      <c r="I470" s="52" t="s">
        <v>630</v>
      </c>
      <c r="J470" s="52" t="s">
        <v>684</v>
      </c>
      <c r="K470" s="52" t="s">
        <v>614</v>
      </c>
      <c r="L470" s="52" t="s">
        <v>615</v>
      </c>
      <c r="M470" s="45"/>
      <c r="N470" s="46"/>
      <c r="O470" s="47"/>
      <c r="P470" s="57"/>
      <c r="Q470" s="63"/>
      <c r="R470" s="47"/>
      <c r="S470" s="50"/>
      <c r="T470" s="98"/>
    </row>
    <row r="471" spans="1:20" ht="15" customHeight="1" x14ac:dyDescent="0.4">
      <c r="A471">
        <f t="shared" si="7"/>
        <v>470</v>
      </c>
      <c r="B471" s="40" t="s">
        <v>605</v>
      </c>
      <c r="C471" s="51"/>
      <c r="D471" s="52"/>
      <c r="E471" s="52"/>
      <c r="F471" s="52"/>
      <c r="G471" s="52"/>
      <c r="H471" s="60"/>
      <c r="I471" s="157" t="s">
        <v>622</v>
      </c>
      <c r="J471" s="157" t="s">
        <v>631</v>
      </c>
      <c r="K471" s="158" t="s">
        <v>104</v>
      </c>
      <c r="L471" s="157" t="s">
        <v>615</v>
      </c>
      <c r="M471" s="159"/>
      <c r="N471" s="147" t="s">
        <v>2838</v>
      </c>
      <c r="O471" s="47" t="s">
        <v>2884</v>
      </c>
      <c r="P471" s="57">
        <v>46064</v>
      </c>
      <c r="Q471" s="58">
        <f t="shared" ref="Q471" si="8">P471+R471-1</f>
        <v>46153</v>
      </c>
      <c r="R471" s="47">
        <v>90</v>
      </c>
      <c r="S471" s="81"/>
    </row>
    <row r="472" spans="1:20" ht="15" customHeight="1" x14ac:dyDescent="0.4">
      <c r="A472">
        <f t="shared" si="7"/>
        <v>471</v>
      </c>
      <c r="B472" s="40" t="s">
        <v>605</v>
      </c>
      <c r="C472" s="51"/>
      <c r="D472" s="53"/>
      <c r="E472" s="160"/>
      <c r="F472" s="53"/>
      <c r="G472" s="53"/>
      <c r="H472" s="83"/>
      <c r="I472" s="161" t="s">
        <v>1055</v>
      </c>
      <c r="J472" s="161" t="s">
        <v>721</v>
      </c>
      <c r="K472" s="158" t="s">
        <v>104</v>
      </c>
      <c r="L472" s="161" t="s">
        <v>615</v>
      </c>
      <c r="M472" s="159"/>
      <c r="N472" s="147"/>
      <c r="O472" s="47"/>
      <c r="P472" s="57"/>
      <c r="Q472" s="58"/>
      <c r="R472" s="47"/>
      <c r="S472" s="81"/>
    </row>
    <row r="473" spans="1:20" ht="15" customHeight="1" x14ac:dyDescent="0.4">
      <c r="A473">
        <f t="shared" si="7"/>
        <v>472</v>
      </c>
      <c r="B473" s="40" t="s">
        <v>605</v>
      </c>
      <c r="C473" s="51"/>
      <c r="D473" s="53"/>
      <c r="E473" s="160"/>
      <c r="F473" s="53"/>
      <c r="G473" s="53"/>
      <c r="H473" s="83"/>
      <c r="I473" s="157" t="s">
        <v>703</v>
      </c>
      <c r="J473" s="162" t="s">
        <v>735</v>
      </c>
      <c r="K473" s="158" t="s">
        <v>104</v>
      </c>
      <c r="L473" s="157" t="s">
        <v>615</v>
      </c>
      <c r="M473" s="159"/>
      <c r="N473" s="147" t="s">
        <v>2885</v>
      </c>
      <c r="O473" s="47" t="s">
        <v>2886</v>
      </c>
      <c r="P473" s="57">
        <v>46097</v>
      </c>
      <c r="Q473" s="58">
        <f t="shared" ref="Q473:Q536" si="9">P473+R473-1</f>
        <v>46219</v>
      </c>
      <c r="R473" s="47">
        <v>123</v>
      </c>
      <c r="S473" s="81"/>
    </row>
    <row r="474" spans="1:20" ht="15" customHeight="1" x14ac:dyDescent="0.4">
      <c r="A474">
        <f t="shared" si="7"/>
        <v>473</v>
      </c>
      <c r="B474" s="40" t="s">
        <v>605</v>
      </c>
      <c r="C474" s="51"/>
      <c r="D474" s="53"/>
      <c r="E474" s="160"/>
      <c r="F474" s="53"/>
      <c r="G474" s="53"/>
      <c r="H474" s="83"/>
      <c r="I474" s="163" t="s">
        <v>630</v>
      </c>
      <c r="J474" s="163" t="s">
        <v>631</v>
      </c>
      <c r="K474" s="158" t="s">
        <v>104</v>
      </c>
      <c r="L474" s="161" t="s">
        <v>615</v>
      </c>
      <c r="M474" s="159"/>
      <c r="N474" s="147" t="s">
        <v>2331</v>
      </c>
      <c r="O474" s="47" t="s">
        <v>2884</v>
      </c>
      <c r="P474" s="57">
        <v>46062</v>
      </c>
      <c r="Q474" s="58">
        <f t="shared" si="9"/>
        <v>46151</v>
      </c>
      <c r="R474" s="47">
        <v>90</v>
      </c>
      <c r="S474" s="81"/>
    </row>
    <row r="475" spans="1:20" ht="15" customHeight="1" x14ac:dyDescent="0.4">
      <c r="A475">
        <f t="shared" si="7"/>
        <v>474</v>
      </c>
      <c r="B475" s="40" t="s">
        <v>605</v>
      </c>
      <c r="C475" s="51"/>
      <c r="D475" s="53"/>
      <c r="E475" s="160"/>
      <c r="F475" s="53"/>
      <c r="G475" s="53"/>
      <c r="H475" s="83"/>
      <c r="I475" s="163" t="s">
        <v>649</v>
      </c>
      <c r="J475" s="163" t="s">
        <v>684</v>
      </c>
      <c r="K475" s="158" t="s">
        <v>104</v>
      </c>
      <c r="L475" s="163" t="s">
        <v>615</v>
      </c>
      <c r="M475" s="159"/>
      <c r="N475" s="147" t="s">
        <v>2882</v>
      </c>
      <c r="O475" s="47" t="s">
        <v>2884</v>
      </c>
      <c r="P475" s="57">
        <v>46095</v>
      </c>
      <c r="Q475" s="58">
        <f t="shared" si="9"/>
        <v>46184</v>
      </c>
      <c r="R475" s="47">
        <v>90</v>
      </c>
      <c r="S475" s="81"/>
    </row>
    <row r="476" spans="1:20" ht="15" customHeight="1" x14ac:dyDescent="0.4">
      <c r="A476">
        <f t="shared" si="7"/>
        <v>475</v>
      </c>
      <c r="B476" s="40" t="s">
        <v>605</v>
      </c>
      <c r="C476" s="51"/>
      <c r="D476" s="53"/>
      <c r="E476" s="160"/>
      <c r="F476" s="53"/>
      <c r="G476" s="53"/>
      <c r="H476" s="83"/>
      <c r="I476" s="157" t="s">
        <v>734</v>
      </c>
      <c r="J476" s="157" t="s">
        <v>778</v>
      </c>
      <c r="K476" s="158" t="s">
        <v>104</v>
      </c>
      <c r="L476" s="157" t="s">
        <v>615</v>
      </c>
      <c r="M476" s="159"/>
      <c r="N476" s="147" t="s">
        <v>2887</v>
      </c>
      <c r="O476" s="47" t="s">
        <v>2886</v>
      </c>
      <c r="P476" s="57">
        <v>46104</v>
      </c>
      <c r="Q476" s="58">
        <f t="shared" si="9"/>
        <v>46186</v>
      </c>
      <c r="R476" s="47">
        <v>83</v>
      </c>
      <c r="S476" s="81"/>
    </row>
    <row r="477" spans="1:20" ht="15" customHeight="1" x14ac:dyDescent="0.4">
      <c r="A477">
        <f t="shared" si="7"/>
        <v>476</v>
      </c>
      <c r="B477" s="40" t="s">
        <v>605</v>
      </c>
      <c r="C477" s="51"/>
      <c r="D477" s="53"/>
      <c r="E477" s="160"/>
      <c r="F477" s="53"/>
      <c r="G477" s="53"/>
      <c r="H477" s="83"/>
      <c r="I477" s="157" t="s">
        <v>1055</v>
      </c>
      <c r="J477" s="157" t="s">
        <v>642</v>
      </c>
      <c r="K477" s="158" t="s">
        <v>104</v>
      </c>
      <c r="L477" s="161" t="s">
        <v>615</v>
      </c>
      <c r="M477" s="159"/>
      <c r="N477" s="147"/>
      <c r="O477" s="47"/>
      <c r="P477" s="57"/>
      <c r="Q477" s="58">
        <f t="shared" si="9"/>
        <v>-1</v>
      </c>
      <c r="R477" s="47"/>
      <c r="S477" s="81"/>
    </row>
    <row r="478" spans="1:20" ht="15" customHeight="1" x14ac:dyDescent="0.4">
      <c r="A478">
        <f t="shared" si="7"/>
        <v>477</v>
      </c>
      <c r="B478" s="40" t="s">
        <v>605</v>
      </c>
      <c r="C478" s="51"/>
      <c r="D478" s="53"/>
      <c r="E478" s="160"/>
      <c r="F478" s="53"/>
      <c r="G478" s="53"/>
      <c r="H478" s="83"/>
      <c r="I478" s="163" t="s">
        <v>649</v>
      </c>
      <c r="J478" s="163" t="s">
        <v>664</v>
      </c>
      <c r="K478" s="158" t="s">
        <v>104</v>
      </c>
      <c r="L478" s="161" t="s">
        <v>615</v>
      </c>
      <c r="M478" s="159"/>
      <c r="N478" s="147" t="s">
        <v>2248</v>
      </c>
      <c r="O478" s="47" t="s">
        <v>2884</v>
      </c>
      <c r="P478" s="57">
        <v>46094</v>
      </c>
      <c r="Q478" s="58">
        <f t="shared" si="9"/>
        <v>46183</v>
      </c>
      <c r="R478" s="47">
        <v>90</v>
      </c>
      <c r="S478" s="81"/>
    </row>
    <row r="479" spans="1:20" ht="15" customHeight="1" x14ac:dyDescent="0.4">
      <c r="A479">
        <f t="shared" si="7"/>
        <v>478</v>
      </c>
      <c r="B479" s="40" t="s">
        <v>605</v>
      </c>
      <c r="C479" s="51"/>
      <c r="D479" s="53"/>
      <c r="E479" s="160"/>
      <c r="F479" s="53"/>
      <c r="G479" s="53"/>
      <c r="H479" s="83"/>
      <c r="I479" s="157" t="s">
        <v>2888</v>
      </c>
      <c r="J479" s="157" t="s">
        <v>637</v>
      </c>
      <c r="K479" s="158" t="s">
        <v>104</v>
      </c>
      <c r="L479" s="157" t="s">
        <v>615</v>
      </c>
      <c r="M479" s="159"/>
      <c r="N479" s="147" t="s">
        <v>2889</v>
      </c>
      <c r="O479" s="47" t="s">
        <v>2886</v>
      </c>
      <c r="P479" s="57">
        <v>46085</v>
      </c>
      <c r="Q479" s="58">
        <f t="shared" si="9"/>
        <v>46174</v>
      </c>
      <c r="R479" s="47">
        <v>90</v>
      </c>
      <c r="S479" s="81"/>
    </row>
    <row r="480" spans="1:20" ht="15" customHeight="1" x14ac:dyDescent="0.4">
      <c r="A480">
        <f t="shared" si="7"/>
        <v>479</v>
      </c>
      <c r="B480" s="40" t="s">
        <v>605</v>
      </c>
      <c r="C480" s="51"/>
      <c r="D480" s="53"/>
      <c r="E480" s="160"/>
      <c r="F480" s="53"/>
      <c r="G480" s="53"/>
      <c r="H480" s="83"/>
      <c r="I480" s="162" t="s">
        <v>1055</v>
      </c>
      <c r="J480" s="162" t="s">
        <v>1237</v>
      </c>
      <c r="K480" s="158" t="s">
        <v>104</v>
      </c>
      <c r="L480" s="157" t="s">
        <v>615</v>
      </c>
      <c r="M480" s="159"/>
      <c r="N480" s="147"/>
      <c r="O480" s="47"/>
      <c r="P480" s="57"/>
      <c r="Q480" s="58"/>
      <c r="R480" s="47"/>
      <c r="S480" s="81"/>
    </row>
    <row r="481" spans="1:20" ht="15" customHeight="1" x14ac:dyDescent="0.4">
      <c r="A481">
        <f t="shared" si="7"/>
        <v>480</v>
      </c>
      <c r="B481" s="40" t="s">
        <v>605</v>
      </c>
      <c r="C481" s="51"/>
      <c r="D481" s="53"/>
      <c r="E481" s="160"/>
      <c r="F481" s="53"/>
      <c r="G481" s="53"/>
      <c r="H481" s="83"/>
      <c r="I481" s="164" t="s">
        <v>1055</v>
      </c>
      <c r="J481" s="164" t="s">
        <v>836</v>
      </c>
      <c r="K481" s="158" t="s">
        <v>104</v>
      </c>
      <c r="L481" s="164" t="s">
        <v>615</v>
      </c>
      <c r="M481" s="159"/>
      <c r="N481" s="147"/>
      <c r="O481" s="47"/>
      <c r="P481" s="57"/>
      <c r="Q481" s="58"/>
      <c r="R481" s="47"/>
      <c r="S481" s="81"/>
    </row>
    <row r="482" spans="1:20" ht="15" customHeight="1" x14ac:dyDescent="0.4">
      <c r="A482">
        <f t="shared" si="7"/>
        <v>481</v>
      </c>
      <c r="B482" s="40" t="s">
        <v>605</v>
      </c>
      <c r="C482" s="51"/>
      <c r="D482" s="52"/>
      <c r="E482" s="52" t="s">
        <v>2890</v>
      </c>
      <c r="F482" s="52"/>
      <c r="G482" s="52"/>
      <c r="H482" s="53"/>
      <c r="I482" s="165" t="s">
        <v>1032</v>
      </c>
      <c r="J482" s="165" t="s">
        <v>1069</v>
      </c>
      <c r="K482" s="166" t="s">
        <v>614</v>
      </c>
      <c r="L482" s="165" t="s">
        <v>615</v>
      </c>
      <c r="M482" s="167"/>
      <c r="N482" s="46" t="s">
        <v>2699</v>
      </c>
      <c r="O482" s="47" t="s">
        <v>2891</v>
      </c>
      <c r="P482" s="57">
        <v>46023</v>
      </c>
      <c r="Q482" s="58">
        <f t="shared" si="9"/>
        <v>46387</v>
      </c>
      <c r="R482" s="47">
        <v>365</v>
      </c>
      <c r="S482" s="50"/>
    </row>
    <row r="483" spans="1:20" ht="15" customHeight="1" x14ac:dyDescent="0.4">
      <c r="A483">
        <f t="shared" si="7"/>
        <v>482</v>
      </c>
      <c r="B483" s="40" t="s">
        <v>605</v>
      </c>
      <c r="C483" s="51"/>
      <c r="D483" s="53"/>
      <c r="E483" s="53"/>
      <c r="F483" s="53"/>
      <c r="G483" s="83"/>
      <c r="H483" s="59"/>
      <c r="I483" s="165" t="s">
        <v>630</v>
      </c>
      <c r="J483" s="165" t="s">
        <v>613</v>
      </c>
      <c r="K483" s="166" t="s">
        <v>614</v>
      </c>
      <c r="L483" s="165" t="s">
        <v>615</v>
      </c>
      <c r="M483" s="167" t="s">
        <v>2892</v>
      </c>
      <c r="N483" s="52" t="s">
        <v>1205</v>
      </c>
      <c r="O483" s="47" t="s">
        <v>2891</v>
      </c>
      <c r="P483" s="72">
        <v>46023</v>
      </c>
      <c r="Q483" s="58">
        <f t="shared" si="9"/>
        <v>46387</v>
      </c>
      <c r="R483" s="47">
        <v>365</v>
      </c>
      <c r="S483" s="50"/>
    </row>
    <row r="484" spans="1:20" ht="15" customHeight="1" x14ac:dyDescent="0.4">
      <c r="A484">
        <f t="shared" si="7"/>
        <v>483</v>
      </c>
      <c r="B484" s="40" t="s">
        <v>605</v>
      </c>
      <c r="C484" s="51"/>
      <c r="D484" s="52"/>
      <c r="E484" s="52"/>
      <c r="F484" s="52"/>
      <c r="G484" s="52"/>
      <c r="H484" s="53"/>
      <c r="I484" s="165" t="s">
        <v>812</v>
      </c>
      <c r="J484" s="168" t="s">
        <v>623</v>
      </c>
      <c r="K484" s="166" t="s">
        <v>614</v>
      </c>
      <c r="L484" s="165" t="s">
        <v>615</v>
      </c>
      <c r="M484" s="167" t="s">
        <v>2892</v>
      </c>
      <c r="N484" s="46" t="s">
        <v>2306</v>
      </c>
      <c r="O484" s="47" t="s">
        <v>2891</v>
      </c>
      <c r="P484" s="72">
        <v>46023</v>
      </c>
      <c r="Q484" s="63">
        <f t="shared" si="9"/>
        <v>46387</v>
      </c>
      <c r="R484" s="68">
        <v>365</v>
      </c>
      <c r="S484" s="50"/>
    </row>
    <row r="485" spans="1:20" ht="15" customHeight="1" x14ac:dyDescent="0.4">
      <c r="A485">
        <f t="shared" si="7"/>
        <v>484</v>
      </c>
      <c r="B485" s="40" t="s">
        <v>605</v>
      </c>
      <c r="C485" s="51"/>
      <c r="D485" s="52"/>
      <c r="E485" s="52"/>
      <c r="F485" s="52"/>
      <c r="G485" s="52"/>
      <c r="H485" s="53"/>
      <c r="I485" s="165" t="s">
        <v>861</v>
      </c>
      <c r="J485" s="165" t="s">
        <v>631</v>
      </c>
      <c r="K485" s="166" t="s">
        <v>614</v>
      </c>
      <c r="L485" s="165" t="s">
        <v>615</v>
      </c>
      <c r="M485" s="167" t="s">
        <v>2893</v>
      </c>
      <c r="N485" s="46" t="s">
        <v>2894</v>
      </c>
      <c r="O485" s="47" t="s">
        <v>2895</v>
      </c>
      <c r="P485" s="72">
        <v>46023</v>
      </c>
      <c r="Q485" s="96">
        <f t="shared" si="9"/>
        <v>46387</v>
      </c>
      <c r="R485" s="47">
        <v>365</v>
      </c>
      <c r="S485" s="81" t="s">
        <v>2896</v>
      </c>
    </row>
    <row r="486" spans="1:20" ht="15" customHeight="1" x14ac:dyDescent="0.4">
      <c r="A486">
        <f t="shared" si="7"/>
        <v>485</v>
      </c>
      <c r="B486" s="40" t="s">
        <v>605</v>
      </c>
      <c r="C486" s="51"/>
      <c r="D486" s="52"/>
      <c r="E486" s="52"/>
      <c r="F486" s="52"/>
      <c r="G486" s="52"/>
      <c r="H486" s="53"/>
      <c r="I486" s="165" t="s">
        <v>812</v>
      </c>
      <c r="J486" s="165" t="s">
        <v>650</v>
      </c>
      <c r="K486" s="166" t="s">
        <v>614</v>
      </c>
      <c r="L486" s="165" t="s">
        <v>615</v>
      </c>
      <c r="M486" s="167"/>
      <c r="N486" s="46" t="s">
        <v>2897</v>
      </c>
      <c r="O486" s="47" t="s">
        <v>2895</v>
      </c>
      <c r="P486" s="57">
        <v>46023</v>
      </c>
      <c r="Q486" s="63">
        <f t="shared" si="9"/>
        <v>46387</v>
      </c>
      <c r="R486" s="47">
        <v>365</v>
      </c>
      <c r="S486" s="50" t="s">
        <v>2898</v>
      </c>
    </row>
    <row r="487" spans="1:20" ht="15" customHeight="1" x14ac:dyDescent="0.4">
      <c r="A487">
        <f t="shared" si="7"/>
        <v>486</v>
      </c>
      <c r="B487" s="40" t="s">
        <v>605</v>
      </c>
      <c r="C487" s="51"/>
      <c r="D487" s="52"/>
      <c r="E487" s="52"/>
      <c r="F487" s="52"/>
      <c r="G487" s="52"/>
      <c r="H487" s="53"/>
      <c r="I487" s="165" t="s">
        <v>622</v>
      </c>
      <c r="J487" s="165" t="s">
        <v>704</v>
      </c>
      <c r="K487" s="165" t="s">
        <v>614</v>
      </c>
      <c r="L487" s="165" t="s">
        <v>615</v>
      </c>
      <c r="M487" s="169" t="s">
        <v>2899</v>
      </c>
      <c r="N487" s="71" t="s">
        <v>2900</v>
      </c>
      <c r="O487" s="47" t="s">
        <v>2891</v>
      </c>
      <c r="P487" s="57">
        <v>46023</v>
      </c>
      <c r="Q487" s="63">
        <f t="shared" si="9"/>
        <v>46387</v>
      </c>
      <c r="R487" s="47">
        <v>365</v>
      </c>
      <c r="S487" s="81" t="s">
        <v>2901</v>
      </c>
    </row>
    <row r="488" spans="1:20" ht="15" customHeight="1" x14ac:dyDescent="0.4">
      <c r="A488">
        <f t="shared" si="7"/>
        <v>487</v>
      </c>
      <c r="B488" s="40" t="s">
        <v>605</v>
      </c>
      <c r="C488" s="51"/>
      <c r="D488" s="52"/>
      <c r="E488" s="52"/>
      <c r="F488" s="52"/>
      <c r="G488" s="52"/>
      <c r="H488" s="53"/>
      <c r="I488" s="165" t="s">
        <v>812</v>
      </c>
      <c r="J488" s="165" t="s">
        <v>637</v>
      </c>
      <c r="K488" s="166" t="s">
        <v>614</v>
      </c>
      <c r="L488" s="165" t="s">
        <v>615</v>
      </c>
      <c r="M488" s="167"/>
      <c r="N488" s="118" t="s">
        <v>2902</v>
      </c>
      <c r="O488" s="47" t="s">
        <v>2895</v>
      </c>
      <c r="P488" s="57">
        <v>46023</v>
      </c>
      <c r="Q488" s="58">
        <f t="shared" si="9"/>
        <v>46387</v>
      </c>
      <c r="R488" s="68">
        <v>365</v>
      </c>
      <c r="S488" s="137"/>
      <c r="T488" s="33"/>
    </row>
    <row r="489" spans="1:20" ht="15" customHeight="1" x14ac:dyDescent="0.4">
      <c r="A489">
        <f t="shared" si="7"/>
        <v>488</v>
      </c>
      <c r="B489" s="40" t="s">
        <v>605</v>
      </c>
      <c r="C489" s="51"/>
      <c r="D489" s="52"/>
      <c r="E489" s="52"/>
      <c r="F489" s="52"/>
      <c r="G489" s="52"/>
      <c r="H489" s="53"/>
      <c r="I489" s="165" t="s">
        <v>720</v>
      </c>
      <c r="J489" s="165" t="s">
        <v>778</v>
      </c>
      <c r="K489" s="166" t="s">
        <v>614</v>
      </c>
      <c r="L489" s="165" t="s">
        <v>615</v>
      </c>
      <c r="M489" s="167"/>
      <c r="N489" s="147" t="s">
        <v>1821</v>
      </c>
      <c r="O489" s="52" t="s">
        <v>2891</v>
      </c>
      <c r="P489" s="57">
        <v>46023</v>
      </c>
      <c r="Q489" s="63">
        <f t="shared" si="9"/>
        <v>46387</v>
      </c>
      <c r="R489" s="68">
        <v>365</v>
      </c>
      <c r="S489" s="137"/>
      <c r="T489" s="33"/>
    </row>
    <row r="490" spans="1:20" ht="15" customHeight="1" x14ac:dyDescent="0.4">
      <c r="A490">
        <f t="shared" si="7"/>
        <v>489</v>
      </c>
      <c r="B490" s="40" t="s">
        <v>605</v>
      </c>
      <c r="C490" s="41"/>
      <c r="D490" s="170"/>
      <c r="E490" s="42"/>
      <c r="F490" s="44"/>
      <c r="G490" s="44"/>
      <c r="H490" s="44"/>
      <c r="I490" s="171" t="s">
        <v>683</v>
      </c>
      <c r="J490" s="171" t="s">
        <v>751</v>
      </c>
      <c r="K490" s="172" t="s">
        <v>614</v>
      </c>
      <c r="L490" s="165" t="s">
        <v>615</v>
      </c>
      <c r="M490" s="173"/>
      <c r="N490" s="170" t="s">
        <v>2903</v>
      </c>
      <c r="O490" s="42" t="s">
        <v>2895</v>
      </c>
      <c r="P490" s="57">
        <v>46023</v>
      </c>
      <c r="Q490" s="63">
        <f t="shared" si="9"/>
        <v>46387</v>
      </c>
      <c r="R490" s="68">
        <v>365</v>
      </c>
      <c r="S490" s="137" t="s">
        <v>2904</v>
      </c>
      <c r="T490" s="33"/>
    </row>
    <row r="491" spans="1:20" ht="15.75" customHeight="1" x14ac:dyDescent="0.4">
      <c r="A491">
        <f t="shared" si="7"/>
        <v>490</v>
      </c>
      <c r="B491" s="40" t="s">
        <v>605</v>
      </c>
      <c r="C491" s="51"/>
      <c r="D491" s="147"/>
      <c r="E491" s="52"/>
      <c r="F491" s="52"/>
      <c r="G491" s="52"/>
      <c r="H491" s="59"/>
      <c r="I491" s="165" t="s">
        <v>861</v>
      </c>
      <c r="J491" s="165" t="s">
        <v>664</v>
      </c>
      <c r="K491" s="166" t="s">
        <v>614</v>
      </c>
      <c r="L491" s="165" t="s">
        <v>615</v>
      </c>
      <c r="M491" s="174"/>
      <c r="N491" s="46" t="s">
        <v>2905</v>
      </c>
      <c r="O491" s="47" t="s">
        <v>2895</v>
      </c>
      <c r="P491" s="153">
        <v>46023</v>
      </c>
      <c r="Q491" s="154">
        <f t="shared" si="9"/>
        <v>46175</v>
      </c>
      <c r="R491" s="160">
        <v>153</v>
      </c>
      <c r="S491" s="81" t="s">
        <v>2906</v>
      </c>
      <c r="T491" s="33"/>
    </row>
    <row r="492" spans="1:20" ht="15.75" customHeight="1" x14ac:dyDescent="0.4">
      <c r="A492">
        <f t="shared" si="7"/>
        <v>491</v>
      </c>
      <c r="B492" s="40" t="s">
        <v>605</v>
      </c>
      <c r="C492" s="51"/>
      <c r="D492" s="175"/>
      <c r="E492" s="124"/>
      <c r="F492" s="124"/>
      <c r="G492" s="124"/>
      <c r="H492" s="123"/>
      <c r="I492" s="168" t="s">
        <v>762</v>
      </c>
      <c r="J492" s="165" t="s">
        <v>613</v>
      </c>
      <c r="K492" s="166" t="s">
        <v>614</v>
      </c>
      <c r="L492" s="165" t="s">
        <v>615</v>
      </c>
      <c r="M492" s="174"/>
      <c r="N492" s="176" t="s">
        <v>2907</v>
      </c>
      <c r="O492" s="177" t="s">
        <v>2895</v>
      </c>
      <c r="P492" s="153">
        <v>46055</v>
      </c>
      <c r="Q492" s="154">
        <f t="shared" si="9"/>
        <v>46387</v>
      </c>
      <c r="R492" s="160">
        <v>333</v>
      </c>
      <c r="S492" s="178"/>
      <c r="T492" s="33"/>
    </row>
    <row r="493" spans="1:20" ht="15.75" customHeight="1" thickBot="1" x14ac:dyDescent="0.45">
      <c r="A493">
        <f t="shared" si="7"/>
        <v>492</v>
      </c>
      <c r="B493" s="40" t="s">
        <v>605</v>
      </c>
      <c r="C493" s="51"/>
      <c r="D493" s="175"/>
      <c r="E493" s="124"/>
      <c r="F493" s="124"/>
      <c r="G493" s="124"/>
      <c r="H493" s="123"/>
      <c r="I493" s="165" t="s">
        <v>630</v>
      </c>
      <c r="J493" s="165" t="s">
        <v>697</v>
      </c>
      <c r="K493" s="172" t="s">
        <v>614</v>
      </c>
      <c r="L493" s="165" t="s">
        <v>615</v>
      </c>
      <c r="M493" s="179"/>
      <c r="N493" s="176" t="s">
        <v>1244</v>
      </c>
      <c r="O493" s="177" t="s">
        <v>2891</v>
      </c>
      <c r="P493" s="153">
        <v>46023</v>
      </c>
      <c r="Q493" s="154">
        <f t="shared" si="9"/>
        <v>46387</v>
      </c>
      <c r="R493" s="160">
        <v>365</v>
      </c>
      <c r="S493" s="178"/>
      <c r="T493" s="33"/>
    </row>
    <row r="494" spans="1:20" ht="15.75" customHeight="1" thickBot="1" x14ac:dyDescent="0.45">
      <c r="A494">
        <f t="shared" si="7"/>
        <v>493</v>
      </c>
      <c r="B494" s="40" t="s">
        <v>605</v>
      </c>
      <c r="C494" s="41"/>
      <c r="D494" s="42"/>
      <c r="E494" s="42"/>
      <c r="F494" s="42"/>
      <c r="G494" s="42"/>
      <c r="H494" s="82"/>
      <c r="I494" s="171" t="s">
        <v>734</v>
      </c>
      <c r="J494" s="171" t="s">
        <v>657</v>
      </c>
      <c r="K494" s="166" t="s">
        <v>614</v>
      </c>
      <c r="L494" s="171" t="s">
        <v>615</v>
      </c>
      <c r="M494" s="180"/>
      <c r="N494" s="176" t="s">
        <v>2908</v>
      </c>
      <c r="O494" s="177" t="s">
        <v>2895</v>
      </c>
      <c r="P494" s="181">
        <v>46067</v>
      </c>
      <c r="Q494" s="154">
        <f t="shared" si="9"/>
        <v>46387</v>
      </c>
      <c r="R494" s="182">
        <v>321</v>
      </c>
      <c r="S494" s="178"/>
      <c r="T494" s="33"/>
    </row>
    <row r="495" spans="1:20" ht="15" customHeight="1" x14ac:dyDescent="0.4">
      <c r="A495">
        <f t="shared" si="7"/>
        <v>494</v>
      </c>
      <c r="B495" s="183" t="s">
        <v>2909</v>
      </c>
      <c r="C495" s="184" t="s">
        <v>405</v>
      </c>
      <c r="D495" s="185" t="s">
        <v>1114</v>
      </c>
      <c r="E495" s="185" t="s">
        <v>1104</v>
      </c>
      <c r="F495" s="185" t="s">
        <v>646</v>
      </c>
      <c r="G495" s="185" t="s">
        <v>2910</v>
      </c>
      <c r="H495" s="186" t="s">
        <v>203</v>
      </c>
      <c r="I495" s="187" t="s">
        <v>641</v>
      </c>
      <c r="J495" s="188" t="s">
        <v>778</v>
      </c>
      <c r="K495" s="185" t="s">
        <v>614</v>
      </c>
      <c r="L495" s="185" t="s">
        <v>2911</v>
      </c>
      <c r="M495" s="189" t="s">
        <v>2912</v>
      </c>
      <c r="N495" s="190"/>
      <c r="O495" s="191"/>
      <c r="P495" s="192">
        <v>46023</v>
      </c>
      <c r="Q495" s="193">
        <f t="shared" si="9"/>
        <v>46387</v>
      </c>
      <c r="R495" s="191">
        <v>365</v>
      </c>
      <c r="S495" s="194"/>
    </row>
    <row r="496" spans="1:20" ht="15" customHeight="1" x14ac:dyDescent="0.4">
      <c r="A496">
        <f t="shared" si="7"/>
        <v>495</v>
      </c>
      <c r="B496" s="195" t="s">
        <v>2909</v>
      </c>
      <c r="C496" s="196" t="s">
        <v>372</v>
      </c>
      <c r="D496" s="197" t="s">
        <v>2461</v>
      </c>
      <c r="E496" s="197" t="s">
        <v>2104</v>
      </c>
      <c r="F496" s="197" t="s">
        <v>2913</v>
      </c>
      <c r="G496" s="197" t="s">
        <v>2914</v>
      </c>
      <c r="H496" s="198" t="s">
        <v>137</v>
      </c>
      <c r="I496" s="197" t="s">
        <v>641</v>
      </c>
      <c r="J496" s="199" t="s">
        <v>778</v>
      </c>
      <c r="K496" s="197" t="s">
        <v>614</v>
      </c>
      <c r="L496" s="197" t="s">
        <v>2911</v>
      </c>
      <c r="M496" s="200" t="s">
        <v>2912</v>
      </c>
      <c r="N496" s="40"/>
      <c r="O496" s="47"/>
      <c r="P496" s="72">
        <v>46023</v>
      </c>
      <c r="Q496" s="58">
        <f t="shared" si="9"/>
        <v>46387</v>
      </c>
      <c r="R496" s="47">
        <v>365</v>
      </c>
      <c r="S496" s="201"/>
    </row>
    <row r="497" spans="1:19" ht="15" customHeight="1" x14ac:dyDescent="0.4">
      <c r="A497">
        <f t="shared" si="7"/>
        <v>496</v>
      </c>
      <c r="B497" s="195" t="s">
        <v>2909</v>
      </c>
      <c r="C497" s="196" t="s">
        <v>399</v>
      </c>
      <c r="D497" s="197" t="s">
        <v>2329</v>
      </c>
      <c r="E497" s="197" t="s">
        <v>2915</v>
      </c>
      <c r="F497" s="197" t="s">
        <v>2916</v>
      </c>
      <c r="G497" s="197" t="s">
        <v>2917</v>
      </c>
      <c r="H497" s="198" t="s">
        <v>201</v>
      </c>
      <c r="I497" s="197" t="s">
        <v>641</v>
      </c>
      <c r="J497" s="199" t="s">
        <v>778</v>
      </c>
      <c r="K497" s="197" t="s">
        <v>614</v>
      </c>
      <c r="L497" s="197" t="s">
        <v>2911</v>
      </c>
      <c r="M497" s="200" t="s">
        <v>2912</v>
      </c>
      <c r="N497" s="40"/>
      <c r="O497" s="47"/>
      <c r="P497" s="72">
        <v>46023</v>
      </c>
      <c r="Q497" s="58">
        <f t="shared" si="9"/>
        <v>46387</v>
      </c>
      <c r="R497" s="47">
        <v>365</v>
      </c>
      <c r="S497" s="50"/>
    </row>
    <row r="498" spans="1:19" ht="15" customHeight="1" x14ac:dyDescent="0.4">
      <c r="A498">
        <f t="shared" si="7"/>
        <v>497</v>
      </c>
      <c r="B498" s="195" t="s">
        <v>2909</v>
      </c>
      <c r="C498" s="196" t="s">
        <v>408</v>
      </c>
      <c r="D498" s="197" t="s">
        <v>2918</v>
      </c>
      <c r="E498" s="197" t="s">
        <v>1028</v>
      </c>
      <c r="F498" s="197" t="s">
        <v>2919</v>
      </c>
      <c r="G498" s="197" t="s">
        <v>2920</v>
      </c>
      <c r="H498" s="202" t="s">
        <v>206</v>
      </c>
      <c r="I498" s="197" t="s">
        <v>641</v>
      </c>
      <c r="J498" s="199" t="s">
        <v>778</v>
      </c>
      <c r="K498" s="197" t="s">
        <v>614</v>
      </c>
      <c r="L498" s="197" t="s">
        <v>2911</v>
      </c>
      <c r="M498" s="200" t="s">
        <v>2912</v>
      </c>
      <c r="N498" s="40"/>
      <c r="O498" s="47"/>
      <c r="P498" s="72">
        <v>46023</v>
      </c>
      <c r="Q498" s="58">
        <f>P498+R498-1</f>
        <v>46387</v>
      </c>
      <c r="R498" s="47">
        <v>365</v>
      </c>
      <c r="S498" s="50"/>
    </row>
    <row r="499" spans="1:19" ht="15" customHeight="1" x14ac:dyDescent="0.4">
      <c r="A499">
        <f t="shared" si="7"/>
        <v>498</v>
      </c>
      <c r="B499" s="195" t="s">
        <v>2909</v>
      </c>
      <c r="C499" s="196" t="s">
        <v>318</v>
      </c>
      <c r="D499" s="197" t="s">
        <v>1381</v>
      </c>
      <c r="E499" s="197" t="s">
        <v>2558</v>
      </c>
      <c r="F499" s="197" t="s">
        <v>2559</v>
      </c>
      <c r="G499" s="197" t="s">
        <v>2560</v>
      </c>
      <c r="H499" s="202" t="s">
        <v>93</v>
      </c>
      <c r="I499" s="197" t="s">
        <v>1154</v>
      </c>
      <c r="J499" s="199" t="s">
        <v>778</v>
      </c>
      <c r="K499" s="199" t="s">
        <v>614</v>
      </c>
      <c r="L499" s="197" t="s">
        <v>2911</v>
      </c>
      <c r="M499" s="200" t="s">
        <v>2921</v>
      </c>
      <c r="N499" s="40"/>
      <c r="O499" s="47"/>
      <c r="P499" s="72">
        <v>46042</v>
      </c>
      <c r="Q499" s="58">
        <f t="shared" si="9"/>
        <v>46387</v>
      </c>
      <c r="R499" s="47">
        <v>346</v>
      </c>
      <c r="S499" s="203"/>
    </row>
    <row r="500" spans="1:19" ht="15" customHeight="1" x14ac:dyDescent="0.4">
      <c r="A500">
        <f t="shared" si="7"/>
        <v>499</v>
      </c>
      <c r="B500" s="195" t="s">
        <v>2909</v>
      </c>
      <c r="C500" s="196" t="s">
        <v>2922</v>
      </c>
      <c r="D500" s="197" t="s">
        <v>832</v>
      </c>
      <c r="E500" s="197" t="s">
        <v>1012</v>
      </c>
      <c r="F500" s="197" t="s">
        <v>2923</v>
      </c>
      <c r="G500" s="197" t="s">
        <v>2924</v>
      </c>
      <c r="H500" s="202" t="s">
        <v>2925</v>
      </c>
      <c r="I500" s="197" t="s">
        <v>683</v>
      </c>
      <c r="J500" s="199" t="s">
        <v>751</v>
      </c>
      <c r="K500" s="197" t="s">
        <v>614</v>
      </c>
      <c r="L500" s="197" t="s">
        <v>2911</v>
      </c>
      <c r="M500" s="200" t="s">
        <v>2926</v>
      </c>
      <c r="N500" s="40"/>
      <c r="O500" s="47"/>
      <c r="P500" s="72">
        <v>46023</v>
      </c>
      <c r="Q500" s="58">
        <f t="shared" si="9"/>
        <v>46387</v>
      </c>
      <c r="R500" s="47">
        <v>365</v>
      </c>
      <c r="S500" s="50"/>
    </row>
    <row r="501" spans="1:19" ht="15" customHeight="1" x14ac:dyDescent="0.4">
      <c r="A501">
        <f t="shared" si="7"/>
        <v>500</v>
      </c>
      <c r="B501" s="195" t="s">
        <v>2909</v>
      </c>
      <c r="C501" s="196"/>
      <c r="D501" s="197"/>
      <c r="E501" s="197"/>
      <c r="F501" s="197"/>
      <c r="G501" s="197"/>
      <c r="H501" s="202"/>
      <c r="I501" s="197" t="s">
        <v>683</v>
      </c>
      <c r="J501" s="199" t="s">
        <v>751</v>
      </c>
      <c r="K501" s="197" t="s">
        <v>614</v>
      </c>
      <c r="L501" s="197" t="s">
        <v>2911</v>
      </c>
      <c r="M501" s="200" t="s">
        <v>2926</v>
      </c>
      <c r="N501" s="40"/>
      <c r="O501" s="47"/>
      <c r="P501" s="72"/>
      <c r="Q501" s="58">
        <f t="shared" si="9"/>
        <v>-1</v>
      </c>
      <c r="R501" s="47"/>
      <c r="S501" s="50"/>
    </row>
    <row r="502" spans="1:19" ht="15" customHeight="1" x14ac:dyDescent="0.4">
      <c r="A502">
        <f t="shared" si="7"/>
        <v>501</v>
      </c>
      <c r="B502" s="195" t="s">
        <v>2909</v>
      </c>
      <c r="C502" s="196" t="s">
        <v>2927</v>
      </c>
      <c r="D502" s="197" t="s">
        <v>2928</v>
      </c>
      <c r="E502" s="197" t="s">
        <v>1375</v>
      </c>
      <c r="F502" s="197" t="s">
        <v>2929</v>
      </c>
      <c r="G502" s="197" t="s">
        <v>2930</v>
      </c>
      <c r="H502" s="202" t="s">
        <v>2931</v>
      </c>
      <c r="I502" s="197" t="s">
        <v>683</v>
      </c>
      <c r="J502" s="199" t="s">
        <v>751</v>
      </c>
      <c r="K502" s="197" t="s">
        <v>614</v>
      </c>
      <c r="L502" s="197" t="s">
        <v>2911</v>
      </c>
      <c r="M502" s="200" t="s">
        <v>2926</v>
      </c>
      <c r="N502" s="40"/>
      <c r="O502" s="47"/>
      <c r="P502" s="72">
        <v>46023</v>
      </c>
      <c r="Q502" s="58">
        <f t="shared" si="9"/>
        <v>46387</v>
      </c>
      <c r="R502" s="47">
        <v>365</v>
      </c>
      <c r="S502" s="50"/>
    </row>
    <row r="503" spans="1:19" ht="15" customHeight="1" x14ac:dyDescent="0.4">
      <c r="A503">
        <f t="shared" si="7"/>
        <v>502</v>
      </c>
      <c r="B503" s="195" t="s">
        <v>2909</v>
      </c>
      <c r="C503" s="204" t="s">
        <v>1708</v>
      </c>
      <c r="D503" s="205" t="s">
        <v>1687</v>
      </c>
      <c r="E503" s="205" t="s">
        <v>1476</v>
      </c>
      <c r="F503" s="205" t="s">
        <v>1709</v>
      </c>
      <c r="G503" s="205" t="s">
        <v>1710</v>
      </c>
      <c r="H503" s="206" t="s">
        <v>1711</v>
      </c>
      <c r="I503" s="197" t="s">
        <v>683</v>
      </c>
      <c r="J503" s="199" t="s">
        <v>751</v>
      </c>
      <c r="K503" s="197" t="s">
        <v>614</v>
      </c>
      <c r="L503" s="197" t="s">
        <v>2911</v>
      </c>
      <c r="M503" s="200" t="s">
        <v>2926</v>
      </c>
      <c r="N503" s="40"/>
      <c r="O503" s="47"/>
      <c r="P503" s="72">
        <v>46058</v>
      </c>
      <c r="Q503" s="58">
        <f t="shared" si="9"/>
        <v>46387</v>
      </c>
      <c r="R503" s="47">
        <v>330</v>
      </c>
      <c r="S503" s="50"/>
    </row>
    <row r="504" spans="1:19" ht="15" customHeight="1" x14ac:dyDescent="0.4">
      <c r="A504">
        <f t="shared" si="7"/>
        <v>503</v>
      </c>
      <c r="B504" s="195" t="s">
        <v>2909</v>
      </c>
      <c r="C504" s="196" t="s">
        <v>2932</v>
      </c>
      <c r="D504" s="197" t="s">
        <v>2933</v>
      </c>
      <c r="E504" s="197" t="s">
        <v>1842</v>
      </c>
      <c r="F504" s="197" t="s">
        <v>2934</v>
      </c>
      <c r="G504" s="197" t="s">
        <v>2935</v>
      </c>
      <c r="H504" s="202" t="s">
        <v>2936</v>
      </c>
      <c r="I504" s="197" t="s">
        <v>683</v>
      </c>
      <c r="J504" s="199" t="s">
        <v>613</v>
      </c>
      <c r="K504" s="197" t="s">
        <v>614</v>
      </c>
      <c r="L504" s="197" t="s">
        <v>2911</v>
      </c>
      <c r="M504" s="200" t="s">
        <v>2926</v>
      </c>
      <c r="N504" s="40"/>
      <c r="O504" s="47"/>
      <c r="P504" s="72">
        <v>46023</v>
      </c>
      <c r="Q504" s="58">
        <f t="shared" si="9"/>
        <v>46387</v>
      </c>
      <c r="R504" s="47">
        <v>365</v>
      </c>
      <c r="S504" s="50"/>
    </row>
    <row r="505" spans="1:19" ht="15" customHeight="1" x14ac:dyDescent="0.4">
      <c r="A505">
        <f t="shared" si="7"/>
        <v>504</v>
      </c>
      <c r="B505" s="195" t="s">
        <v>2909</v>
      </c>
      <c r="C505" s="196" t="s">
        <v>2937</v>
      </c>
      <c r="D505" s="197" t="s">
        <v>864</v>
      </c>
      <c r="E505" s="197" t="s">
        <v>1012</v>
      </c>
      <c r="F505" s="197" t="s">
        <v>2938</v>
      </c>
      <c r="G505" s="197" t="s">
        <v>2939</v>
      </c>
      <c r="H505" s="207" t="s">
        <v>2940</v>
      </c>
      <c r="I505" s="197" t="s">
        <v>683</v>
      </c>
      <c r="J505" s="199" t="s">
        <v>613</v>
      </c>
      <c r="K505" s="197" t="s">
        <v>614</v>
      </c>
      <c r="L505" s="197" t="s">
        <v>2911</v>
      </c>
      <c r="M505" s="200" t="s">
        <v>2926</v>
      </c>
      <c r="N505" s="40"/>
      <c r="O505" s="47"/>
      <c r="P505" s="72">
        <v>46023</v>
      </c>
      <c r="Q505" s="58">
        <f t="shared" si="9"/>
        <v>46387</v>
      </c>
      <c r="R505" s="47">
        <v>365</v>
      </c>
      <c r="S505" s="50"/>
    </row>
    <row r="506" spans="1:19" ht="15" customHeight="1" x14ac:dyDescent="0.4">
      <c r="A506">
        <f t="shared" si="7"/>
        <v>505</v>
      </c>
      <c r="B506" s="195" t="s">
        <v>2909</v>
      </c>
      <c r="C506" s="196" t="s">
        <v>2941</v>
      </c>
      <c r="D506" s="197" t="s">
        <v>742</v>
      </c>
      <c r="E506" s="197" t="s">
        <v>921</v>
      </c>
      <c r="F506" s="197" t="s">
        <v>2942</v>
      </c>
      <c r="G506" s="197" t="s">
        <v>2943</v>
      </c>
      <c r="H506" s="202" t="s">
        <v>2944</v>
      </c>
      <c r="I506" s="197" t="s">
        <v>683</v>
      </c>
      <c r="J506" s="199" t="s">
        <v>613</v>
      </c>
      <c r="K506" s="197" t="s">
        <v>614</v>
      </c>
      <c r="L506" s="197" t="s">
        <v>2911</v>
      </c>
      <c r="M506" s="200" t="s">
        <v>2926</v>
      </c>
      <c r="N506" s="40"/>
      <c r="O506" s="47"/>
      <c r="P506" s="72">
        <v>46023</v>
      </c>
      <c r="Q506" s="58">
        <f t="shared" si="9"/>
        <v>46387</v>
      </c>
      <c r="R506" s="47">
        <v>365</v>
      </c>
      <c r="S506" s="50"/>
    </row>
    <row r="507" spans="1:19" ht="15" customHeight="1" x14ac:dyDescent="0.4">
      <c r="A507">
        <f t="shared" si="7"/>
        <v>506</v>
      </c>
      <c r="B507" s="195" t="s">
        <v>2909</v>
      </c>
      <c r="C507" s="196" t="s">
        <v>2945</v>
      </c>
      <c r="D507" s="197" t="s">
        <v>2946</v>
      </c>
      <c r="E507" s="197" t="s">
        <v>2946</v>
      </c>
      <c r="F507" s="197" t="s">
        <v>2947</v>
      </c>
      <c r="G507" s="197" t="s">
        <v>2948</v>
      </c>
      <c r="H507" s="207" t="s">
        <v>2949</v>
      </c>
      <c r="I507" s="197" t="s">
        <v>683</v>
      </c>
      <c r="J507" s="199" t="s">
        <v>613</v>
      </c>
      <c r="K507" s="197" t="s">
        <v>614</v>
      </c>
      <c r="L507" s="197" t="s">
        <v>2911</v>
      </c>
      <c r="M507" s="200" t="s">
        <v>2926</v>
      </c>
      <c r="N507" s="40"/>
      <c r="O507" s="47"/>
      <c r="P507" s="72">
        <v>46023</v>
      </c>
      <c r="Q507" s="58">
        <f t="shared" si="9"/>
        <v>46387</v>
      </c>
      <c r="R507" s="47">
        <v>365</v>
      </c>
      <c r="S507" s="50"/>
    </row>
    <row r="508" spans="1:19" ht="15" customHeight="1" x14ac:dyDescent="0.4">
      <c r="A508">
        <f t="shared" si="7"/>
        <v>507</v>
      </c>
      <c r="B508" s="195" t="s">
        <v>2909</v>
      </c>
      <c r="C508" s="196" t="s">
        <v>2950</v>
      </c>
      <c r="D508" s="197" t="s">
        <v>1314</v>
      </c>
      <c r="E508" s="197" t="s">
        <v>608</v>
      </c>
      <c r="F508" s="197" t="s">
        <v>2951</v>
      </c>
      <c r="G508" s="197" t="s">
        <v>2952</v>
      </c>
      <c r="H508" s="207" t="s">
        <v>2953</v>
      </c>
      <c r="I508" s="197" t="s">
        <v>683</v>
      </c>
      <c r="J508" s="199" t="s">
        <v>613</v>
      </c>
      <c r="K508" s="197" t="s">
        <v>614</v>
      </c>
      <c r="L508" s="197" t="s">
        <v>2911</v>
      </c>
      <c r="M508" s="200" t="s">
        <v>2926</v>
      </c>
      <c r="N508" s="40"/>
      <c r="O508" s="47"/>
      <c r="P508" s="72">
        <v>46023</v>
      </c>
      <c r="Q508" s="58">
        <f t="shared" si="9"/>
        <v>46387</v>
      </c>
      <c r="R508" s="47">
        <v>365</v>
      </c>
      <c r="S508" s="50"/>
    </row>
    <row r="509" spans="1:19" ht="15" customHeight="1" x14ac:dyDescent="0.4">
      <c r="A509">
        <f t="shared" si="7"/>
        <v>508</v>
      </c>
      <c r="B509" s="195" t="s">
        <v>2909</v>
      </c>
      <c r="C509" s="196" t="s">
        <v>2954</v>
      </c>
      <c r="D509" s="197" t="s">
        <v>963</v>
      </c>
      <c r="E509" s="197" t="s">
        <v>807</v>
      </c>
      <c r="F509" s="197" t="s">
        <v>2955</v>
      </c>
      <c r="G509" s="197" t="s">
        <v>2956</v>
      </c>
      <c r="H509" s="202" t="s">
        <v>2957</v>
      </c>
      <c r="I509" s="197" t="s">
        <v>683</v>
      </c>
      <c r="J509" s="199" t="s">
        <v>669</v>
      </c>
      <c r="K509" s="197" t="s">
        <v>614</v>
      </c>
      <c r="L509" s="197" t="s">
        <v>2911</v>
      </c>
      <c r="M509" s="200" t="s">
        <v>2926</v>
      </c>
      <c r="N509" s="40"/>
      <c r="O509" s="47"/>
      <c r="P509" s="72">
        <v>46023</v>
      </c>
      <c r="Q509" s="58">
        <f t="shared" si="9"/>
        <v>46387</v>
      </c>
      <c r="R509" s="47">
        <v>365</v>
      </c>
      <c r="S509" s="50"/>
    </row>
    <row r="510" spans="1:19" ht="15" customHeight="1" x14ac:dyDescent="0.4">
      <c r="A510">
        <f t="shared" si="7"/>
        <v>509</v>
      </c>
      <c r="B510" s="195" t="s">
        <v>2909</v>
      </c>
      <c r="C510" s="208" t="s">
        <v>2958</v>
      </c>
      <c r="D510" s="197" t="s">
        <v>832</v>
      </c>
      <c r="E510" s="197" t="s">
        <v>2959</v>
      </c>
      <c r="F510" s="197" t="s">
        <v>2960</v>
      </c>
      <c r="G510" s="197" t="s">
        <v>2961</v>
      </c>
      <c r="H510" s="202" t="s">
        <v>2962</v>
      </c>
      <c r="I510" s="197" t="s">
        <v>683</v>
      </c>
      <c r="J510" s="199" t="s">
        <v>669</v>
      </c>
      <c r="K510" s="197" t="s">
        <v>614</v>
      </c>
      <c r="L510" s="197" t="s">
        <v>2911</v>
      </c>
      <c r="M510" s="200" t="s">
        <v>2926</v>
      </c>
      <c r="N510" s="40"/>
      <c r="O510" s="47"/>
      <c r="P510" s="72">
        <v>46023</v>
      </c>
      <c r="Q510" s="58">
        <f t="shared" si="9"/>
        <v>46387</v>
      </c>
      <c r="R510" s="47">
        <v>365</v>
      </c>
      <c r="S510" s="50"/>
    </row>
    <row r="511" spans="1:19" ht="15" customHeight="1" x14ac:dyDescent="0.4">
      <c r="A511">
        <f t="shared" si="7"/>
        <v>510</v>
      </c>
      <c r="B511" s="195" t="s">
        <v>2909</v>
      </c>
      <c r="C511" s="208" t="s">
        <v>2963</v>
      </c>
      <c r="D511" s="197" t="s">
        <v>952</v>
      </c>
      <c r="E511" s="197" t="s">
        <v>832</v>
      </c>
      <c r="F511" s="197" t="s">
        <v>2964</v>
      </c>
      <c r="G511" s="197" t="s">
        <v>2965</v>
      </c>
      <c r="H511" s="202" t="s">
        <v>2966</v>
      </c>
      <c r="I511" s="197" t="s">
        <v>683</v>
      </c>
      <c r="J511" s="199" t="s">
        <v>669</v>
      </c>
      <c r="K511" s="197" t="s">
        <v>614</v>
      </c>
      <c r="L511" s="197" t="s">
        <v>2911</v>
      </c>
      <c r="M511" s="200" t="s">
        <v>2926</v>
      </c>
      <c r="N511" s="40"/>
      <c r="O511" s="47"/>
      <c r="P511" s="72">
        <v>46023</v>
      </c>
      <c r="Q511" s="58">
        <f t="shared" si="9"/>
        <v>46387</v>
      </c>
      <c r="R511" s="47">
        <v>365</v>
      </c>
      <c r="S511" s="50"/>
    </row>
    <row r="512" spans="1:19" ht="15" customHeight="1" x14ac:dyDescent="0.4">
      <c r="A512">
        <f t="shared" si="7"/>
        <v>511</v>
      </c>
      <c r="B512" s="195" t="s">
        <v>2909</v>
      </c>
      <c r="C512" s="209" t="s">
        <v>1070</v>
      </c>
      <c r="D512" s="210" t="s">
        <v>1071</v>
      </c>
      <c r="E512" s="210" t="s">
        <v>1072</v>
      </c>
      <c r="F512" s="210" t="s">
        <v>1073</v>
      </c>
      <c r="G512" s="210" t="s">
        <v>1074</v>
      </c>
      <c r="H512" s="211" t="s">
        <v>1075</v>
      </c>
      <c r="I512" s="197" t="s">
        <v>703</v>
      </c>
      <c r="J512" s="199" t="s">
        <v>751</v>
      </c>
      <c r="K512" s="197" t="s">
        <v>614</v>
      </c>
      <c r="L512" s="197" t="s">
        <v>2911</v>
      </c>
      <c r="M512" s="200" t="s">
        <v>2967</v>
      </c>
      <c r="N512" s="40"/>
      <c r="O512" s="47"/>
      <c r="P512" s="212">
        <v>46023</v>
      </c>
      <c r="Q512" s="213">
        <f>P512+R512-1</f>
        <v>46203</v>
      </c>
      <c r="R512" s="214">
        <v>181</v>
      </c>
      <c r="S512" s="50"/>
    </row>
    <row r="513" spans="1:19" ht="15" customHeight="1" x14ac:dyDescent="0.4">
      <c r="A513">
        <f t="shared" si="7"/>
        <v>512</v>
      </c>
      <c r="B513" s="195" t="s">
        <v>2909</v>
      </c>
      <c r="C513" s="209" t="s">
        <v>2760</v>
      </c>
      <c r="D513" s="210" t="s">
        <v>1061</v>
      </c>
      <c r="E513" s="210" t="s">
        <v>903</v>
      </c>
      <c r="F513" s="210" t="s">
        <v>2761</v>
      </c>
      <c r="G513" s="210" t="s">
        <v>2762</v>
      </c>
      <c r="H513" s="215" t="s">
        <v>2763</v>
      </c>
      <c r="I513" s="197" t="s">
        <v>703</v>
      </c>
      <c r="J513" s="199" t="s">
        <v>751</v>
      </c>
      <c r="K513" s="197" t="s">
        <v>614</v>
      </c>
      <c r="L513" s="197" t="s">
        <v>2911</v>
      </c>
      <c r="M513" s="200" t="s">
        <v>2967</v>
      </c>
      <c r="N513" s="40"/>
      <c r="O513" s="47"/>
      <c r="P513" s="212">
        <v>46023</v>
      </c>
      <c r="Q513" s="213">
        <f t="shared" si="9"/>
        <v>46203</v>
      </c>
      <c r="R513" s="214">
        <v>181</v>
      </c>
      <c r="S513" s="50"/>
    </row>
    <row r="514" spans="1:19" ht="15" customHeight="1" x14ac:dyDescent="0.4">
      <c r="A514">
        <f t="shared" si="7"/>
        <v>513</v>
      </c>
      <c r="B514" s="195" t="s">
        <v>2909</v>
      </c>
      <c r="C514" s="216" t="s">
        <v>961</v>
      </c>
      <c r="D514" s="217" t="s">
        <v>962</v>
      </c>
      <c r="E514" s="217" t="s">
        <v>963</v>
      </c>
      <c r="F514" s="217" t="s">
        <v>964</v>
      </c>
      <c r="G514" s="217" t="s">
        <v>965</v>
      </c>
      <c r="H514" s="218" t="s">
        <v>966</v>
      </c>
      <c r="I514" s="197" t="s">
        <v>703</v>
      </c>
      <c r="J514" s="199" t="s">
        <v>751</v>
      </c>
      <c r="K514" s="197" t="s">
        <v>614</v>
      </c>
      <c r="L514" s="197" t="s">
        <v>2911</v>
      </c>
      <c r="M514" s="200" t="s">
        <v>2967</v>
      </c>
      <c r="N514" s="40"/>
      <c r="O514" s="47"/>
      <c r="P514" s="212">
        <v>46023</v>
      </c>
      <c r="Q514" s="213">
        <f t="shared" si="9"/>
        <v>46203</v>
      </c>
      <c r="R514" s="214">
        <v>181</v>
      </c>
      <c r="S514" s="50"/>
    </row>
    <row r="515" spans="1:19" ht="15" customHeight="1" x14ac:dyDescent="0.4">
      <c r="A515">
        <f t="shared" si="7"/>
        <v>514</v>
      </c>
      <c r="B515" s="195" t="s">
        <v>2909</v>
      </c>
      <c r="C515" s="196" t="s">
        <v>2968</v>
      </c>
      <c r="D515" s="197" t="s">
        <v>1006</v>
      </c>
      <c r="E515" s="197" t="s">
        <v>2969</v>
      </c>
      <c r="F515" s="197" t="s">
        <v>2970</v>
      </c>
      <c r="G515" s="197" t="s">
        <v>2971</v>
      </c>
      <c r="H515" s="202" t="s">
        <v>2972</v>
      </c>
      <c r="I515" s="197" t="s">
        <v>799</v>
      </c>
      <c r="J515" s="199" t="s">
        <v>751</v>
      </c>
      <c r="K515" s="197" t="s">
        <v>614</v>
      </c>
      <c r="L515" s="197" t="s">
        <v>2911</v>
      </c>
      <c r="M515" s="200" t="s">
        <v>2973</v>
      </c>
      <c r="N515" s="40"/>
      <c r="O515" s="47"/>
      <c r="P515" s="72">
        <v>46050</v>
      </c>
      <c r="Q515" s="63">
        <f t="shared" si="9"/>
        <v>46387</v>
      </c>
      <c r="R515" s="47">
        <v>338</v>
      </c>
      <c r="S515" s="50"/>
    </row>
    <row r="516" spans="1:19" ht="15" customHeight="1" x14ac:dyDescent="0.4">
      <c r="A516">
        <f t="shared" ref="A516:A554" si="10">A515+1</f>
        <v>515</v>
      </c>
      <c r="B516" s="195" t="s">
        <v>2909</v>
      </c>
      <c r="C516" s="196" t="s">
        <v>2974</v>
      </c>
      <c r="D516" s="197" t="s">
        <v>2975</v>
      </c>
      <c r="E516" s="197" t="s">
        <v>633</v>
      </c>
      <c r="F516" s="197" t="s">
        <v>2976</v>
      </c>
      <c r="G516" s="197" t="s">
        <v>2977</v>
      </c>
      <c r="H516" s="202" t="s">
        <v>2978</v>
      </c>
      <c r="I516" s="197" t="s">
        <v>799</v>
      </c>
      <c r="J516" s="199" t="s">
        <v>751</v>
      </c>
      <c r="K516" s="197" t="s">
        <v>614</v>
      </c>
      <c r="L516" s="197" t="s">
        <v>2911</v>
      </c>
      <c r="M516" s="200" t="s">
        <v>2973</v>
      </c>
      <c r="N516" s="40"/>
      <c r="O516" s="47"/>
      <c r="P516" s="72">
        <v>46028</v>
      </c>
      <c r="Q516" s="63">
        <f t="shared" si="9"/>
        <v>46387</v>
      </c>
      <c r="R516" s="47">
        <v>360</v>
      </c>
      <c r="S516" s="50"/>
    </row>
    <row r="517" spans="1:19" ht="15" customHeight="1" x14ac:dyDescent="0.4">
      <c r="A517">
        <f t="shared" si="10"/>
        <v>516</v>
      </c>
      <c r="B517" s="195" t="s">
        <v>2909</v>
      </c>
      <c r="C517" s="196" t="s">
        <v>2979</v>
      </c>
      <c r="D517" s="197" t="s">
        <v>832</v>
      </c>
      <c r="E517" s="197" t="s">
        <v>1454</v>
      </c>
      <c r="F517" s="197" t="s">
        <v>2980</v>
      </c>
      <c r="G517" s="197" t="s">
        <v>2981</v>
      </c>
      <c r="H517" s="202" t="s">
        <v>2982</v>
      </c>
      <c r="I517" s="197" t="s">
        <v>799</v>
      </c>
      <c r="J517" s="199" t="s">
        <v>751</v>
      </c>
      <c r="K517" s="197" t="s">
        <v>614</v>
      </c>
      <c r="L517" s="197" t="s">
        <v>2911</v>
      </c>
      <c r="M517" s="200" t="s">
        <v>2973</v>
      </c>
      <c r="N517" s="40"/>
      <c r="O517" s="47"/>
      <c r="P517" s="72">
        <v>46027</v>
      </c>
      <c r="Q517" s="63">
        <f t="shared" si="9"/>
        <v>46387</v>
      </c>
      <c r="R517" s="47">
        <v>361</v>
      </c>
      <c r="S517" s="50"/>
    </row>
    <row r="518" spans="1:19" ht="15" customHeight="1" x14ac:dyDescent="0.4">
      <c r="A518">
        <f t="shared" si="10"/>
        <v>517</v>
      </c>
      <c r="B518" s="195" t="s">
        <v>2909</v>
      </c>
      <c r="C518" s="196" t="s">
        <v>2983</v>
      </c>
      <c r="D518" s="197" t="s">
        <v>1104</v>
      </c>
      <c r="E518" s="197" t="s">
        <v>2817</v>
      </c>
      <c r="F518" s="197" t="s">
        <v>2984</v>
      </c>
      <c r="G518" s="197" t="s">
        <v>2985</v>
      </c>
      <c r="H518" s="207" t="s">
        <v>2986</v>
      </c>
      <c r="I518" s="197" t="s">
        <v>683</v>
      </c>
      <c r="J518" s="199" t="s">
        <v>751</v>
      </c>
      <c r="K518" s="197" t="s">
        <v>614</v>
      </c>
      <c r="L518" s="197" t="s">
        <v>2911</v>
      </c>
      <c r="M518" s="200" t="s">
        <v>2926</v>
      </c>
      <c r="N518" s="40"/>
      <c r="O518" s="47"/>
      <c r="P518" s="72">
        <v>46023</v>
      </c>
      <c r="Q518" s="63">
        <f t="shared" si="9"/>
        <v>46387</v>
      </c>
      <c r="R518" s="47">
        <v>365</v>
      </c>
      <c r="S518" s="50"/>
    </row>
    <row r="519" spans="1:19" ht="15" customHeight="1" x14ac:dyDescent="0.4">
      <c r="A519">
        <f t="shared" si="10"/>
        <v>518</v>
      </c>
      <c r="B519" s="195" t="s">
        <v>2909</v>
      </c>
      <c r="C519" s="196" t="s">
        <v>2987</v>
      </c>
      <c r="D519" s="197" t="s">
        <v>1743</v>
      </c>
      <c r="E519" s="197" t="s">
        <v>2928</v>
      </c>
      <c r="F519" s="197" t="s">
        <v>2988</v>
      </c>
      <c r="G519" s="197" t="s">
        <v>2989</v>
      </c>
      <c r="H519" s="202" t="s">
        <v>2990</v>
      </c>
      <c r="I519" s="197" t="s">
        <v>683</v>
      </c>
      <c r="J519" s="199" t="s">
        <v>751</v>
      </c>
      <c r="K519" s="197" t="s">
        <v>614</v>
      </c>
      <c r="L519" s="197" t="s">
        <v>2911</v>
      </c>
      <c r="M519" s="200" t="s">
        <v>2973</v>
      </c>
      <c r="N519" s="40"/>
      <c r="O519" s="47"/>
      <c r="P519" s="72">
        <v>46023</v>
      </c>
      <c r="Q519" s="63">
        <f t="shared" si="9"/>
        <v>46387</v>
      </c>
      <c r="R519" s="47">
        <v>365</v>
      </c>
      <c r="S519" s="50"/>
    </row>
    <row r="520" spans="1:19" ht="15" customHeight="1" x14ac:dyDescent="0.4">
      <c r="A520">
        <f t="shared" si="10"/>
        <v>519</v>
      </c>
      <c r="B520" s="195" t="s">
        <v>2909</v>
      </c>
      <c r="C520" s="196" t="s">
        <v>2991</v>
      </c>
      <c r="D520" s="197" t="s">
        <v>852</v>
      </c>
      <c r="E520" s="197" t="s">
        <v>2992</v>
      </c>
      <c r="F520" s="197" t="s">
        <v>2993</v>
      </c>
      <c r="G520" s="197" t="s">
        <v>2994</v>
      </c>
      <c r="H520" s="202" t="s">
        <v>2995</v>
      </c>
      <c r="I520" s="197" t="s">
        <v>683</v>
      </c>
      <c r="J520" s="199" t="s">
        <v>751</v>
      </c>
      <c r="K520" s="197" t="s">
        <v>614</v>
      </c>
      <c r="L520" s="197" t="s">
        <v>2911</v>
      </c>
      <c r="M520" s="200" t="s">
        <v>2973</v>
      </c>
      <c r="N520" s="40"/>
      <c r="O520" s="47"/>
      <c r="P520" s="72">
        <v>46023</v>
      </c>
      <c r="Q520" s="63">
        <f t="shared" si="9"/>
        <v>46387</v>
      </c>
      <c r="R520" s="47">
        <v>365</v>
      </c>
      <c r="S520" s="50"/>
    </row>
    <row r="521" spans="1:19" ht="15" customHeight="1" x14ac:dyDescent="0.4">
      <c r="A521">
        <f t="shared" si="10"/>
        <v>520</v>
      </c>
      <c r="B521" s="195" t="s">
        <v>2909</v>
      </c>
      <c r="C521" s="196" t="s">
        <v>2996</v>
      </c>
      <c r="D521" s="197" t="s">
        <v>652</v>
      </c>
      <c r="E521" s="197" t="s">
        <v>832</v>
      </c>
      <c r="F521" s="197" t="s">
        <v>2997</v>
      </c>
      <c r="G521" s="197" t="s">
        <v>2998</v>
      </c>
      <c r="H521" s="202" t="s">
        <v>2999</v>
      </c>
      <c r="I521" s="197" t="s">
        <v>683</v>
      </c>
      <c r="J521" s="199" t="s">
        <v>751</v>
      </c>
      <c r="K521" s="197" t="s">
        <v>614</v>
      </c>
      <c r="L521" s="197" t="s">
        <v>2911</v>
      </c>
      <c r="M521" s="200" t="s">
        <v>2973</v>
      </c>
      <c r="N521" s="40"/>
      <c r="O521" s="47"/>
      <c r="P521" s="72">
        <v>46023</v>
      </c>
      <c r="Q521" s="63">
        <f t="shared" si="9"/>
        <v>46387</v>
      </c>
      <c r="R521" s="47">
        <v>365</v>
      </c>
      <c r="S521" s="50"/>
    </row>
    <row r="522" spans="1:19" ht="15" customHeight="1" x14ac:dyDescent="0.4">
      <c r="A522">
        <f t="shared" si="10"/>
        <v>521</v>
      </c>
      <c r="B522" s="195" t="s">
        <v>2909</v>
      </c>
      <c r="C522" s="196" t="s">
        <v>3000</v>
      </c>
      <c r="D522" s="197" t="s">
        <v>2205</v>
      </c>
      <c r="E522" s="197" t="s">
        <v>1677</v>
      </c>
      <c r="F522" s="197" t="s">
        <v>3001</v>
      </c>
      <c r="G522" s="197" t="s">
        <v>3002</v>
      </c>
      <c r="H522" s="202" t="s">
        <v>3003</v>
      </c>
      <c r="I522" s="197" t="s">
        <v>683</v>
      </c>
      <c r="J522" s="199" t="s">
        <v>751</v>
      </c>
      <c r="K522" s="197" t="s">
        <v>614</v>
      </c>
      <c r="L522" s="197" t="s">
        <v>2911</v>
      </c>
      <c r="M522" s="200" t="s">
        <v>2973</v>
      </c>
      <c r="N522" s="40"/>
      <c r="O522" s="47"/>
      <c r="P522" s="72">
        <v>46024</v>
      </c>
      <c r="Q522" s="63">
        <f t="shared" si="9"/>
        <v>46387</v>
      </c>
      <c r="R522" s="47">
        <v>364</v>
      </c>
      <c r="S522" s="50"/>
    </row>
    <row r="523" spans="1:19" ht="15" customHeight="1" x14ac:dyDescent="0.4">
      <c r="A523">
        <f t="shared" si="10"/>
        <v>522</v>
      </c>
      <c r="B523" s="195" t="s">
        <v>2909</v>
      </c>
      <c r="C523" s="209" t="s">
        <v>2256</v>
      </c>
      <c r="D523" s="210" t="s">
        <v>852</v>
      </c>
      <c r="E523" s="210" t="s">
        <v>2257</v>
      </c>
      <c r="F523" s="210" t="s">
        <v>2258</v>
      </c>
      <c r="G523" s="210" t="s">
        <v>2259</v>
      </c>
      <c r="H523" s="215" t="s">
        <v>2260</v>
      </c>
      <c r="I523" s="197" t="s">
        <v>703</v>
      </c>
      <c r="J523" s="199" t="s">
        <v>613</v>
      </c>
      <c r="K523" s="197" t="s">
        <v>614</v>
      </c>
      <c r="L523" s="197" t="s">
        <v>2911</v>
      </c>
      <c r="M523" s="200" t="s">
        <v>3004</v>
      </c>
      <c r="N523" s="40"/>
      <c r="O523" s="47"/>
      <c r="P523" s="212">
        <v>46023</v>
      </c>
      <c r="Q523" s="213">
        <f t="shared" si="9"/>
        <v>46203</v>
      </c>
      <c r="R523" s="214">
        <v>181</v>
      </c>
      <c r="S523" s="50"/>
    </row>
    <row r="524" spans="1:19" ht="15" customHeight="1" x14ac:dyDescent="0.4">
      <c r="A524">
        <f t="shared" si="10"/>
        <v>523</v>
      </c>
      <c r="B524" s="195" t="s">
        <v>2909</v>
      </c>
      <c r="C524" s="209" t="s">
        <v>2219</v>
      </c>
      <c r="D524" s="210" t="s">
        <v>2200</v>
      </c>
      <c r="E524" s="210" t="s">
        <v>699</v>
      </c>
      <c r="F524" s="210" t="s">
        <v>2220</v>
      </c>
      <c r="G524" s="210" t="s">
        <v>2221</v>
      </c>
      <c r="H524" s="211" t="s">
        <v>2222</v>
      </c>
      <c r="I524" s="197" t="s">
        <v>703</v>
      </c>
      <c r="J524" s="199" t="s">
        <v>613</v>
      </c>
      <c r="K524" s="197" t="s">
        <v>614</v>
      </c>
      <c r="L524" s="197" t="s">
        <v>2911</v>
      </c>
      <c r="M524" s="200" t="s">
        <v>2967</v>
      </c>
      <c r="N524" s="40"/>
      <c r="O524" s="47"/>
      <c r="P524" s="212">
        <v>46023</v>
      </c>
      <c r="Q524" s="213">
        <f t="shared" si="9"/>
        <v>46203</v>
      </c>
      <c r="R524" s="214">
        <v>181</v>
      </c>
      <c r="S524" s="50"/>
    </row>
    <row r="525" spans="1:19" ht="15" customHeight="1" x14ac:dyDescent="0.4">
      <c r="A525">
        <f t="shared" si="10"/>
        <v>524</v>
      </c>
      <c r="B525" s="195" t="s">
        <v>2909</v>
      </c>
      <c r="C525" s="209" t="s">
        <v>2228</v>
      </c>
      <c r="D525" s="210" t="s">
        <v>852</v>
      </c>
      <c r="E525" s="210" t="s">
        <v>2229</v>
      </c>
      <c r="F525" s="210" t="s">
        <v>2230</v>
      </c>
      <c r="G525" s="210" t="s">
        <v>2231</v>
      </c>
      <c r="H525" s="211" t="s">
        <v>2232</v>
      </c>
      <c r="I525" s="197" t="s">
        <v>703</v>
      </c>
      <c r="J525" s="199" t="s">
        <v>613</v>
      </c>
      <c r="K525" s="197" t="s">
        <v>614</v>
      </c>
      <c r="L525" s="197" t="s">
        <v>2911</v>
      </c>
      <c r="M525" s="200" t="s">
        <v>2967</v>
      </c>
      <c r="N525" s="40"/>
      <c r="O525" s="47"/>
      <c r="P525" s="212">
        <v>46023</v>
      </c>
      <c r="Q525" s="213">
        <f t="shared" si="9"/>
        <v>46203</v>
      </c>
      <c r="R525" s="214">
        <v>181</v>
      </c>
      <c r="S525" s="50"/>
    </row>
    <row r="526" spans="1:19" ht="15" customHeight="1" x14ac:dyDescent="0.4">
      <c r="A526">
        <f t="shared" si="10"/>
        <v>525</v>
      </c>
      <c r="B526" s="195" t="s">
        <v>2909</v>
      </c>
      <c r="C526" s="209" t="s">
        <v>1313</v>
      </c>
      <c r="D526" s="210" t="s">
        <v>687</v>
      </c>
      <c r="E526" s="210" t="s">
        <v>1314</v>
      </c>
      <c r="F526" s="210" t="s">
        <v>1315</v>
      </c>
      <c r="G526" s="210" t="s">
        <v>1316</v>
      </c>
      <c r="H526" s="211" t="s">
        <v>1317</v>
      </c>
      <c r="I526" s="197" t="s">
        <v>703</v>
      </c>
      <c r="J526" s="199" t="s">
        <v>664</v>
      </c>
      <c r="K526" s="197" t="s">
        <v>614</v>
      </c>
      <c r="L526" s="197" t="s">
        <v>2911</v>
      </c>
      <c r="M526" s="200" t="s">
        <v>2967</v>
      </c>
      <c r="N526" s="40"/>
      <c r="O526" s="47"/>
      <c r="P526" s="212">
        <v>46023</v>
      </c>
      <c r="Q526" s="213">
        <f t="shared" si="9"/>
        <v>46203</v>
      </c>
      <c r="R526" s="214">
        <v>181</v>
      </c>
      <c r="S526" s="50"/>
    </row>
    <row r="527" spans="1:19" ht="15" customHeight="1" x14ac:dyDescent="0.4">
      <c r="A527">
        <f t="shared" si="10"/>
        <v>526</v>
      </c>
      <c r="B527" s="195" t="s">
        <v>2909</v>
      </c>
      <c r="C527" s="196" t="s">
        <v>3005</v>
      </c>
      <c r="D527" s="197" t="s">
        <v>3006</v>
      </c>
      <c r="E527" s="197" t="s">
        <v>3007</v>
      </c>
      <c r="F527" s="197" t="s">
        <v>3008</v>
      </c>
      <c r="G527" s="197" t="s">
        <v>2903</v>
      </c>
      <c r="H527" s="202" t="s">
        <v>3009</v>
      </c>
      <c r="I527" s="197" t="s">
        <v>683</v>
      </c>
      <c r="J527" s="199" t="s">
        <v>751</v>
      </c>
      <c r="K527" s="197" t="s">
        <v>614</v>
      </c>
      <c r="L527" s="197" t="s">
        <v>2911</v>
      </c>
      <c r="M527" s="219" t="s">
        <v>2973</v>
      </c>
      <c r="N527" s="40"/>
      <c r="O527" s="47"/>
      <c r="P527" s="72">
        <v>46023</v>
      </c>
      <c r="Q527" s="58">
        <f t="shared" si="9"/>
        <v>46387</v>
      </c>
      <c r="R527" s="47">
        <v>365</v>
      </c>
      <c r="S527" s="50"/>
    </row>
    <row r="528" spans="1:19" ht="15" customHeight="1" x14ac:dyDescent="0.4">
      <c r="A528">
        <f t="shared" si="10"/>
        <v>527</v>
      </c>
      <c r="B528" s="195" t="s">
        <v>2909</v>
      </c>
      <c r="C528" s="196" t="s">
        <v>3010</v>
      </c>
      <c r="D528" s="197" t="s">
        <v>3011</v>
      </c>
      <c r="E528" s="197" t="s">
        <v>1888</v>
      </c>
      <c r="F528" s="197" t="s">
        <v>3012</v>
      </c>
      <c r="G528" s="197" t="s">
        <v>3013</v>
      </c>
      <c r="H528" s="202" t="s">
        <v>2904</v>
      </c>
      <c r="I528" s="197" t="s">
        <v>683</v>
      </c>
      <c r="J528" s="199" t="s">
        <v>751</v>
      </c>
      <c r="K528" s="197" t="s">
        <v>614</v>
      </c>
      <c r="L528" s="197" t="s">
        <v>2911</v>
      </c>
      <c r="M528" s="219" t="s">
        <v>2973</v>
      </c>
      <c r="N528" s="40"/>
      <c r="O528" s="47"/>
      <c r="P528" s="72">
        <v>46023</v>
      </c>
      <c r="Q528" s="58">
        <f>P528+R528-1</f>
        <v>46387</v>
      </c>
      <c r="R528" s="47">
        <v>365</v>
      </c>
      <c r="S528" s="50"/>
    </row>
    <row r="529" spans="1:19" ht="15" customHeight="1" x14ac:dyDescent="0.4">
      <c r="A529">
        <f t="shared" si="10"/>
        <v>528</v>
      </c>
      <c r="B529" s="195" t="s">
        <v>2909</v>
      </c>
      <c r="C529" s="196" t="s">
        <v>764</v>
      </c>
      <c r="D529" s="197" t="s">
        <v>742</v>
      </c>
      <c r="E529" s="197" t="s">
        <v>687</v>
      </c>
      <c r="F529" s="197" t="s">
        <v>765</v>
      </c>
      <c r="G529" s="197" t="s">
        <v>766</v>
      </c>
      <c r="H529" s="220" t="s">
        <v>767</v>
      </c>
      <c r="I529" s="197" t="s">
        <v>683</v>
      </c>
      <c r="J529" s="199" t="s">
        <v>664</v>
      </c>
      <c r="K529" s="197" t="s">
        <v>614</v>
      </c>
      <c r="L529" s="197" t="s">
        <v>2911</v>
      </c>
      <c r="M529" s="200" t="s">
        <v>2973</v>
      </c>
      <c r="N529" s="40"/>
      <c r="O529" s="47"/>
      <c r="P529" s="72">
        <v>46036</v>
      </c>
      <c r="Q529" s="58">
        <f t="shared" si="9"/>
        <v>46387</v>
      </c>
      <c r="R529" s="47">
        <v>352</v>
      </c>
      <c r="S529" s="50"/>
    </row>
    <row r="530" spans="1:19" ht="15" customHeight="1" x14ac:dyDescent="0.4">
      <c r="A530">
        <f t="shared" si="10"/>
        <v>529</v>
      </c>
      <c r="B530" s="195" t="s">
        <v>2909</v>
      </c>
      <c r="C530" s="196" t="s">
        <v>3014</v>
      </c>
      <c r="D530" s="197" t="s">
        <v>1012</v>
      </c>
      <c r="E530" s="197" t="s">
        <v>2562</v>
      </c>
      <c r="F530" s="197" t="s">
        <v>3015</v>
      </c>
      <c r="G530" s="197" t="s">
        <v>3016</v>
      </c>
      <c r="H530" s="202" t="s">
        <v>2906</v>
      </c>
      <c r="I530" s="197" t="s">
        <v>683</v>
      </c>
      <c r="J530" s="199" t="s">
        <v>664</v>
      </c>
      <c r="K530" s="197" t="s">
        <v>614</v>
      </c>
      <c r="L530" s="197" t="s">
        <v>2911</v>
      </c>
      <c r="M530" s="200" t="s">
        <v>2973</v>
      </c>
      <c r="N530" s="40"/>
      <c r="O530" s="47"/>
      <c r="P530" s="72">
        <v>46023</v>
      </c>
      <c r="Q530" s="58">
        <f t="shared" si="9"/>
        <v>46387</v>
      </c>
      <c r="R530" s="47">
        <v>365</v>
      </c>
      <c r="S530" s="50"/>
    </row>
    <row r="531" spans="1:19" ht="15" customHeight="1" x14ac:dyDescent="0.4">
      <c r="A531">
        <f t="shared" si="10"/>
        <v>530</v>
      </c>
      <c r="B531" s="195" t="s">
        <v>2909</v>
      </c>
      <c r="C531" s="196" t="s">
        <v>3017</v>
      </c>
      <c r="D531" s="197" t="s">
        <v>3018</v>
      </c>
      <c r="E531" s="197" t="s">
        <v>2262</v>
      </c>
      <c r="F531" s="197" t="s">
        <v>3019</v>
      </c>
      <c r="G531" s="197" t="s">
        <v>3020</v>
      </c>
      <c r="H531" s="202" t="s">
        <v>3021</v>
      </c>
      <c r="I531" s="197" t="s">
        <v>799</v>
      </c>
      <c r="J531" s="199" t="s">
        <v>613</v>
      </c>
      <c r="K531" s="197" t="s">
        <v>614</v>
      </c>
      <c r="L531" s="197" t="s">
        <v>2911</v>
      </c>
      <c r="M531" s="200" t="s">
        <v>2973</v>
      </c>
      <c r="N531" s="40"/>
      <c r="O531" s="47"/>
      <c r="P531" s="72">
        <v>46023</v>
      </c>
      <c r="Q531" s="58">
        <f t="shared" si="9"/>
        <v>46387</v>
      </c>
      <c r="R531" s="47">
        <v>365</v>
      </c>
      <c r="S531" s="50"/>
    </row>
    <row r="532" spans="1:19" ht="15" customHeight="1" x14ac:dyDescent="0.4">
      <c r="A532">
        <f t="shared" si="10"/>
        <v>531</v>
      </c>
      <c r="B532" s="195" t="s">
        <v>2909</v>
      </c>
      <c r="C532" s="196" t="s">
        <v>2505</v>
      </c>
      <c r="D532" s="197" t="s">
        <v>1612</v>
      </c>
      <c r="E532" s="197" t="s">
        <v>1612</v>
      </c>
      <c r="F532" s="197" t="s">
        <v>2506</v>
      </c>
      <c r="G532" s="197" t="s">
        <v>2507</v>
      </c>
      <c r="H532" s="202" t="s">
        <v>2508</v>
      </c>
      <c r="I532" s="197" t="s">
        <v>799</v>
      </c>
      <c r="J532" s="199" t="s">
        <v>613</v>
      </c>
      <c r="K532" s="197" t="s">
        <v>614</v>
      </c>
      <c r="L532" s="197" t="s">
        <v>2911</v>
      </c>
      <c r="M532" s="200" t="s">
        <v>2973</v>
      </c>
      <c r="N532" s="40"/>
      <c r="O532" s="47"/>
      <c r="P532" s="72">
        <v>46041</v>
      </c>
      <c r="Q532" s="58">
        <f t="shared" si="9"/>
        <v>46387</v>
      </c>
      <c r="R532" s="47">
        <v>347</v>
      </c>
      <c r="S532" s="50"/>
    </row>
    <row r="533" spans="1:19" ht="15" customHeight="1" x14ac:dyDescent="0.4">
      <c r="A533">
        <f t="shared" si="10"/>
        <v>532</v>
      </c>
      <c r="B533" s="195" t="s">
        <v>2909</v>
      </c>
      <c r="C533" s="196" t="s">
        <v>3022</v>
      </c>
      <c r="D533" s="197" t="s">
        <v>3023</v>
      </c>
      <c r="E533" s="197" t="s">
        <v>1012</v>
      </c>
      <c r="F533" s="197" t="s">
        <v>3024</v>
      </c>
      <c r="G533" s="197" t="s">
        <v>3025</v>
      </c>
      <c r="H533" s="202" t="s">
        <v>3026</v>
      </c>
      <c r="I533" s="197" t="s">
        <v>799</v>
      </c>
      <c r="J533" s="199" t="s">
        <v>613</v>
      </c>
      <c r="K533" s="197" t="s">
        <v>614</v>
      </c>
      <c r="L533" s="197" t="s">
        <v>2911</v>
      </c>
      <c r="M533" s="200" t="s">
        <v>2973</v>
      </c>
      <c r="N533" s="40"/>
      <c r="O533" s="47"/>
      <c r="P533" s="72">
        <v>46023</v>
      </c>
      <c r="Q533" s="58">
        <f t="shared" si="9"/>
        <v>46387</v>
      </c>
      <c r="R533" s="47">
        <v>365</v>
      </c>
      <c r="S533" s="50"/>
    </row>
    <row r="534" spans="1:19" ht="15" customHeight="1" x14ac:dyDescent="0.4">
      <c r="A534">
        <f t="shared" si="10"/>
        <v>533</v>
      </c>
      <c r="B534" s="195" t="s">
        <v>2909</v>
      </c>
      <c r="C534" s="196" t="s">
        <v>3027</v>
      </c>
      <c r="D534" s="197" t="s">
        <v>742</v>
      </c>
      <c r="E534" s="197" t="s">
        <v>1104</v>
      </c>
      <c r="F534" s="197" t="s">
        <v>3028</v>
      </c>
      <c r="G534" s="197" t="s">
        <v>3029</v>
      </c>
      <c r="H534" s="202" t="s">
        <v>3030</v>
      </c>
      <c r="I534" s="197" t="s">
        <v>683</v>
      </c>
      <c r="J534" s="199" t="s">
        <v>613</v>
      </c>
      <c r="K534" s="197" t="s">
        <v>614</v>
      </c>
      <c r="L534" s="197" t="s">
        <v>2911</v>
      </c>
      <c r="M534" s="200" t="s">
        <v>2973</v>
      </c>
      <c r="N534" s="40"/>
      <c r="O534" s="47"/>
      <c r="P534" s="72">
        <v>46023</v>
      </c>
      <c r="Q534" s="58">
        <f t="shared" si="9"/>
        <v>46387</v>
      </c>
      <c r="R534" s="47">
        <v>365</v>
      </c>
      <c r="S534" s="50"/>
    </row>
    <row r="535" spans="1:19" ht="15" customHeight="1" x14ac:dyDescent="0.4">
      <c r="A535">
        <f t="shared" si="10"/>
        <v>534</v>
      </c>
      <c r="B535" s="195" t="s">
        <v>2909</v>
      </c>
      <c r="C535" s="196" t="s">
        <v>3031</v>
      </c>
      <c r="D535" s="197" t="s">
        <v>832</v>
      </c>
      <c r="E535" s="197" t="s">
        <v>1657</v>
      </c>
      <c r="F535" s="197" t="s">
        <v>3032</v>
      </c>
      <c r="G535" s="197" t="s">
        <v>3033</v>
      </c>
      <c r="H535" s="202" t="s">
        <v>3034</v>
      </c>
      <c r="I535" s="197" t="s">
        <v>683</v>
      </c>
      <c r="J535" s="199" t="s">
        <v>613</v>
      </c>
      <c r="K535" s="197" t="s">
        <v>614</v>
      </c>
      <c r="L535" s="197" t="s">
        <v>2911</v>
      </c>
      <c r="M535" s="200" t="s">
        <v>2973</v>
      </c>
      <c r="N535" s="40"/>
      <c r="O535" s="47"/>
      <c r="P535" s="72">
        <v>46023</v>
      </c>
      <c r="Q535" s="58">
        <f t="shared" si="9"/>
        <v>46387</v>
      </c>
      <c r="R535" s="47">
        <v>365</v>
      </c>
      <c r="S535" s="50"/>
    </row>
    <row r="536" spans="1:19" ht="15" customHeight="1" x14ac:dyDescent="0.4">
      <c r="A536">
        <f t="shared" si="10"/>
        <v>535</v>
      </c>
      <c r="B536" s="195" t="s">
        <v>2909</v>
      </c>
      <c r="C536" s="196" t="s">
        <v>3035</v>
      </c>
      <c r="D536" s="197" t="s">
        <v>975</v>
      </c>
      <c r="E536" s="197" t="s">
        <v>3036</v>
      </c>
      <c r="F536" s="197" t="s">
        <v>3037</v>
      </c>
      <c r="G536" s="197" t="s">
        <v>3038</v>
      </c>
      <c r="H536" s="202" t="s">
        <v>3039</v>
      </c>
      <c r="I536" s="197" t="s">
        <v>683</v>
      </c>
      <c r="J536" s="199" t="s">
        <v>613</v>
      </c>
      <c r="K536" s="197" t="s">
        <v>614</v>
      </c>
      <c r="L536" s="197" t="s">
        <v>2911</v>
      </c>
      <c r="M536" s="200" t="s">
        <v>2973</v>
      </c>
      <c r="N536" s="40"/>
      <c r="O536" s="47"/>
      <c r="P536" s="72">
        <v>46023</v>
      </c>
      <c r="Q536" s="58">
        <f t="shared" si="9"/>
        <v>46387</v>
      </c>
      <c r="R536" s="47">
        <v>365</v>
      </c>
      <c r="S536" s="50"/>
    </row>
    <row r="537" spans="1:19" ht="15" customHeight="1" x14ac:dyDescent="0.4">
      <c r="A537">
        <f t="shared" si="10"/>
        <v>536</v>
      </c>
      <c r="B537" s="195" t="s">
        <v>2909</v>
      </c>
      <c r="C537" s="204" t="s">
        <v>847</v>
      </c>
      <c r="D537" s="205" t="s">
        <v>832</v>
      </c>
      <c r="E537" s="205" t="s">
        <v>848</v>
      </c>
      <c r="F537" s="205" t="s">
        <v>849</v>
      </c>
      <c r="G537" s="205" t="s">
        <v>850</v>
      </c>
      <c r="H537" s="206" t="s">
        <v>851</v>
      </c>
      <c r="I537" s="197" t="s">
        <v>683</v>
      </c>
      <c r="J537" s="199" t="s">
        <v>613</v>
      </c>
      <c r="K537" s="197" t="s">
        <v>614</v>
      </c>
      <c r="L537" s="197" t="s">
        <v>2911</v>
      </c>
      <c r="M537" s="200" t="s">
        <v>2973</v>
      </c>
      <c r="N537" s="40"/>
      <c r="O537" s="47"/>
      <c r="P537" s="72">
        <v>46023</v>
      </c>
      <c r="Q537" s="58">
        <f t="shared" ref="Q537:Q557" si="11">P537+R537-1</f>
        <v>46387</v>
      </c>
      <c r="R537" s="47">
        <v>365</v>
      </c>
      <c r="S537" s="50"/>
    </row>
    <row r="538" spans="1:19" ht="15" customHeight="1" x14ac:dyDescent="0.4">
      <c r="A538">
        <f t="shared" si="10"/>
        <v>537</v>
      </c>
      <c r="B538" s="195" t="s">
        <v>2909</v>
      </c>
      <c r="C538" s="204" t="s">
        <v>3040</v>
      </c>
      <c r="D538" s="205" t="s">
        <v>3041</v>
      </c>
      <c r="E538" s="205" t="s">
        <v>633</v>
      </c>
      <c r="F538" s="205" t="s">
        <v>3042</v>
      </c>
      <c r="G538" s="205" t="s">
        <v>3043</v>
      </c>
      <c r="H538" s="221" t="s">
        <v>3044</v>
      </c>
      <c r="I538" s="197" t="s">
        <v>683</v>
      </c>
      <c r="J538" s="199" t="s">
        <v>613</v>
      </c>
      <c r="K538" s="197" t="s">
        <v>614</v>
      </c>
      <c r="L538" s="197" t="s">
        <v>2911</v>
      </c>
      <c r="M538" s="200" t="s">
        <v>2973</v>
      </c>
      <c r="N538" s="40"/>
      <c r="O538" s="47"/>
      <c r="P538" s="72">
        <v>46023</v>
      </c>
      <c r="Q538" s="58">
        <f t="shared" si="11"/>
        <v>46387</v>
      </c>
      <c r="R538" s="47">
        <v>365</v>
      </c>
      <c r="S538" s="50"/>
    </row>
    <row r="539" spans="1:19" ht="15" customHeight="1" x14ac:dyDescent="0.4">
      <c r="A539">
        <f t="shared" si="10"/>
        <v>538</v>
      </c>
      <c r="B539" s="195" t="s">
        <v>2909</v>
      </c>
      <c r="C539" s="196" t="s">
        <v>3045</v>
      </c>
      <c r="D539" s="197" t="s">
        <v>2585</v>
      </c>
      <c r="E539" s="197" t="s">
        <v>3046</v>
      </c>
      <c r="F539" s="197" t="s">
        <v>3047</v>
      </c>
      <c r="G539" s="197" t="s">
        <v>3048</v>
      </c>
      <c r="H539" s="202" t="s">
        <v>3049</v>
      </c>
      <c r="I539" s="197" t="s">
        <v>3050</v>
      </c>
      <c r="J539" s="199" t="s">
        <v>728</v>
      </c>
      <c r="K539" s="197" t="s">
        <v>614</v>
      </c>
      <c r="L539" s="197" t="s">
        <v>2911</v>
      </c>
      <c r="M539" s="197" t="s">
        <v>3051</v>
      </c>
      <c r="N539" s="40"/>
      <c r="O539" s="47"/>
      <c r="P539" s="72">
        <v>46024</v>
      </c>
      <c r="Q539" s="58">
        <f t="shared" si="11"/>
        <v>46205</v>
      </c>
      <c r="R539" s="47">
        <v>182</v>
      </c>
      <c r="S539" s="50"/>
    </row>
    <row r="540" spans="1:19" ht="15.75" customHeight="1" x14ac:dyDescent="0.4">
      <c r="A540">
        <f t="shared" si="10"/>
        <v>539</v>
      </c>
      <c r="B540" s="195" t="s">
        <v>2909</v>
      </c>
      <c r="C540" s="196" t="s">
        <v>433</v>
      </c>
      <c r="D540" s="197" t="s">
        <v>1606</v>
      </c>
      <c r="E540" s="197" t="s">
        <v>1273</v>
      </c>
      <c r="F540" s="197" t="s">
        <v>3052</v>
      </c>
      <c r="G540" s="197" t="s">
        <v>3053</v>
      </c>
      <c r="H540" s="202" t="s">
        <v>220</v>
      </c>
      <c r="I540" s="197" t="s">
        <v>3054</v>
      </c>
      <c r="J540" s="199" t="s">
        <v>778</v>
      </c>
      <c r="K540" s="197" t="s">
        <v>614</v>
      </c>
      <c r="L540" s="197" t="s">
        <v>2911</v>
      </c>
      <c r="M540" s="200" t="s">
        <v>3055</v>
      </c>
      <c r="N540" s="40"/>
      <c r="O540" s="47"/>
      <c r="P540" s="72">
        <v>46023</v>
      </c>
      <c r="Q540" s="58">
        <f t="shared" si="11"/>
        <v>46387</v>
      </c>
      <c r="R540" s="47">
        <v>365</v>
      </c>
      <c r="S540" s="50"/>
    </row>
    <row r="541" spans="1:19" ht="15.75" customHeight="1" x14ac:dyDescent="0.4">
      <c r="A541">
        <f t="shared" si="10"/>
        <v>540</v>
      </c>
      <c r="B541" s="195" t="s">
        <v>2909</v>
      </c>
      <c r="C541" s="222" t="s">
        <v>3056</v>
      </c>
      <c r="D541" s="223" t="s">
        <v>3057</v>
      </c>
      <c r="E541" s="223" t="s">
        <v>1119</v>
      </c>
      <c r="F541" s="223" t="s">
        <v>3058</v>
      </c>
      <c r="G541" s="223" t="s">
        <v>3059</v>
      </c>
      <c r="H541" s="224" t="s">
        <v>3060</v>
      </c>
      <c r="I541" s="197" t="s">
        <v>683</v>
      </c>
      <c r="J541" s="199" t="s">
        <v>751</v>
      </c>
      <c r="K541" s="197" t="s">
        <v>614</v>
      </c>
      <c r="L541" s="197" t="s">
        <v>2911</v>
      </c>
      <c r="M541" s="200" t="s">
        <v>2926</v>
      </c>
      <c r="N541" s="225"/>
      <c r="O541" s="177"/>
      <c r="P541" s="226">
        <v>46120</v>
      </c>
      <c r="Q541" s="227">
        <f t="shared" si="11"/>
        <v>46387</v>
      </c>
      <c r="R541" s="228">
        <v>268</v>
      </c>
      <c r="S541" s="229"/>
    </row>
    <row r="542" spans="1:19" ht="15.75" customHeight="1" x14ac:dyDescent="0.4">
      <c r="A542">
        <f t="shared" si="10"/>
        <v>541</v>
      </c>
      <c r="B542" s="195" t="s">
        <v>2909</v>
      </c>
      <c r="C542" s="184" t="s">
        <v>481</v>
      </c>
      <c r="D542" s="223" t="s">
        <v>1000</v>
      </c>
      <c r="E542" s="223" t="s">
        <v>692</v>
      </c>
      <c r="F542" s="223" t="s">
        <v>3061</v>
      </c>
      <c r="G542" s="223" t="s">
        <v>3062</v>
      </c>
      <c r="H542" s="230" t="s">
        <v>3063</v>
      </c>
      <c r="I542" s="223" t="s">
        <v>3050</v>
      </c>
      <c r="J542" s="231" t="s">
        <v>778</v>
      </c>
      <c r="K542" s="223" t="s">
        <v>614</v>
      </c>
      <c r="L542" s="223" t="s">
        <v>2911</v>
      </c>
      <c r="M542" s="197" t="s">
        <v>3064</v>
      </c>
      <c r="N542" s="232"/>
      <c r="O542" s="177"/>
      <c r="P542" s="226">
        <v>46118</v>
      </c>
      <c r="Q542" s="227">
        <f t="shared" si="11"/>
        <v>46241</v>
      </c>
      <c r="R542" s="228">
        <v>124</v>
      </c>
      <c r="S542" s="229"/>
    </row>
    <row r="543" spans="1:19" ht="15.75" customHeight="1" x14ac:dyDescent="0.4">
      <c r="A543">
        <f t="shared" si="10"/>
        <v>542</v>
      </c>
      <c r="B543" s="195" t="s">
        <v>2909</v>
      </c>
      <c r="C543" s="184" t="s">
        <v>477</v>
      </c>
      <c r="D543" s="223" t="s">
        <v>3065</v>
      </c>
      <c r="E543" s="223" t="s">
        <v>723</v>
      </c>
      <c r="F543" s="223" t="s">
        <v>3066</v>
      </c>
      <c r="G543" s="223" t="s">
        <v>3067</v>
      </c>
      <c r="H543" s="224" t="s">
        <v>143</v>
      </c>
      <c r="I543" s="223" t="s">
        <v>3050</v>
      </c>
      <c r="J543" s="231" t="s">
        <v>778</v>
      </c>
      <c r="K543" s="223" t="s">
        <v>614</v>
      </c>
      <c r="L543" s="223" t="s">
        <v>2911</v>
      </c>
      <c r="M543" s="197" t="s">
        <v>3064</v>
      </c>
      <c r="N543" s="232"/>
      <c r="O543" s="177"/>
      <c r="P543" s="226">
        <v>46118</v>
      </c>
      <c r="Q543" s="227">
        <f t="shared" si="11"/>
        <v>46219</v>
      </c>
      <c r="R543" s="228">
        <v>102</v>
      </c>
      <c r="S543" s="229"/>
    </row>
    <row r="544" spans="1:19" ht="15.75" customHeight="1" x14ac:dyDescent="0.4">
      <c r="A544">
        <f t="shared" si="10"/>
        <v>543</v>
      </c>
      <c r="B544" s="195" t="s">
        <v>2909</v>
      </c>
      <c r="C544" s="184" t="s">
        <v>3068</v>
      </c>
      <c r="D544" s="223" t="s">
        <v>1297</v>
      </c>
      <c r="E544" s="223" t="s">
        <v>815</v>
      </c>
      <c r="F544" s="223" t="s">
        <v>1811</v>
      </c>
      <c r="G544" s="223" t="s">
        <v>3069</v>
      </c>
      <c r="H544" s="224" t="s">
        <v>3070</v>
      </c>
      <c r="I544" s="223" t="s">
        <v>3050</v>
      </c>
      <c r="J544" s="231" t="s">
        <v>763</v>
      </c>
      <c r="K544" s="223" t="s">
        <v>614</v>
      </c>
      <c r="L544" s="223" t="s">
        <v>2911</v>
      </c>
      <c r="M544" s="197" t="s">
        <v>3064</v>
      </c>
      <c r="N544" s="232"/>
      <c r="O544" s="177"/>
      <c r="P544" s="226">
        <v>46024</v>
      </c>
      <c r="Q544" s="227">
        <f t="shared" si="11"/>
        <v>46205</v>
      </c>
      <c r="R544" s="228">
        <v>182</v>
      </c>
      <c r="S544" s="229"/>
    </row>
    <row r="545" spans="1:19" ht="15.75" customHeight="1" x14ac:dyDescent="0.4">
      <c r="A545">
        <f t="shared" si="10"/>
        <v>544</v>
      </c>
      <c r="B545" s="195" t="s">
        <v>2909</v>
      </c>
      <c r="C545" s="184" t="s">
        <v>3071</v>
      </c>
      <c r="D545" s="223" t="s">
        <v>3072</v>
      </c>
      <c r="E545" s="223" t="s">
        <v>3073</v>
      </c>
      <c r="F545" s="223" t="s">
        <v>2300</v>
      </c>
      <c r="G545" s="223" t="s">
        <v>3074</v>
      </c>
      <c r="H545" s="233" t="s">
        <v>3075</v>
      </c>
      <c r="I545" s="223" t="s">
        <v>3050</v>
      </c>
      <c r="J545" s="199" t="s">
        <v>728</v>
      </c>
      <c r="K545" s="223" t="s">
        <v>614</v>
      </c>
      <c r="L545" s="223" t="s">
        <v>2911</v>
      </c>
      <c r="M545" s="197" t="s">
        <v>3051</v>
      </c>
      <c r="N545" s="232"/>
      <c r="O545" s="177"/>
      <c r="P545" s="226">
        <v>46024</v>
      </c>
      <c r="Q545" s="227">
        <f>P545+R545-1</f>
        <v>46205</v>
      </c>
      <c r="R545" s="228">
        <v>182</v>
      </c>
      <c r="S545" s="229"/>
    </row>
    <row r="546" spans="1:19" ht="15.75" customHeight="1" x14ac:dyDescent="0.4">
      <c r="A546">
        <f t="shared" si="10"/>
        <v>545</v>
      </c>
      <c r="B546" s="195" t="s">
        <v>2909</v>
      </c>
      <c r="C546" s="184" t="s">
        <v>3076</v>
      </c>
      <c r="D546" s="223" t="s">
        <v>3077</v>
      </c>
      <c r="E546" s="223" t="s">
        <v>2467</v>
      </c>
      <c r="F546" s="223" t="s">
        <v>3078</v>
      </c>
      <c r="G546" s="223" t="s">
        <v>3079</v>
      </c>
      <c r="H546" s="233" t="s">
        <v>3080</v>
      </c>
      <c r="I546" s="223" t="s">
        <v>3050</v>
      </c>
      <c r="J546" s="199" t="s">
        <v>721</v>
      </c>
      <c r="K546" s="234" t="s">
        <v>614</v>
      </c>
      <c r="L546" s="235" t="s">
        <v>2911</v>
      </c>
      <c r="M546" s="197" t="s">
        <v>3051</v>
      </c>
      <c r="N546" s="232"/>
      <c r="O546" s="177"/>
      <c r="P546" s="226">
        <v>46024</v>
      </c>
      <c r="Q546" s="227">
        <f t="shared" si="11"/>
        <v>46205</v>
      </c>
      <c r="R546" s="228">
        <v>182</v>
      </c>
      <c r="S546" s="229"/>
    </row>
    <row r="547" spans="1:19" ht="15.75" customHeight="1" x14ac:dyDescent="0.4">
      <c r="A547">
        <f t="shared" si="10"/>
        <v>546</v>
      </c>
      <c r="B547" s="195" t="s">
        <v>2909</v>
      </c>
      <c r="C547" s="204" t="s">
        <v>411</v>
      </c>
      <c r="D547" s="205" t="s">
        <v>852</v>
      </c>
      <c r="E547" s="205" t="s">
        <v>898</v>
      </c>
      <c r="F547" s="205" t="s">
        <v>3081</v>
      </c>
      <c r="G547" s="205" t="s">
        <v>3082</v>
      </c>
      <c r="H547" s="236" t="s">
        <v>209</v>
      </c>
      <c r="I547" s="205" t="s">
        <v>641</v>
      </c>
      <c r="J547" s="205" t="s">
        <v>778</v>
      </c>
      <c r="K547" s="237" t="s">
        <v>614</v>
      </c>
      <c r="L547" s="235" t="s">
        <v>2911</v>
      </c>
      <c r="M547" s="197" t="s">
        <v>3083</v>
      </c>
      <c r="N547" s="232"/>
      <c r="O547" s="177"/>
      <c r="P547" s="226">
        <v>46023</v>
      </c>
      <c r="Q547" s="227">
        <f t="shared" si="11"/>
        <v>46387</v>
      </c>
      <c r="R547" s="228">
        <v>365</v>
      </c>
      <c r="S547" s="229"/>
    </row>
    <row r="548" spans="1:19" ht="15.75" customHeight="1" x14ac:dyDescent="0.4">
      <c r="A548">
        <f t="shared" si="10"/>
        <v>547</v>
      </c>
      <c r="B548" s="195" t="s">
        <v>2909</v>
      </c>
      <c r="C548" s="238" t="s">
        <v>402</v>
      </c>
      <c r="D548" s="239" t="s">
        <v>1381</v>
      </c>
      <c r="E548" s="239" t="s">
        <v>1337</v>
      </c>
      <c r="F548" s="239" t="s">
        <v>3084</v>
      </c>
      <c r="G548" s="239" t="s">
        <v>3085</v>
      </c>
      <c r="H548" s="240" t="s">
        <v>212</v>
      </c>
      <c r="I548" s="205" t="s">
        <v>641</v>
      </c>
      <c r="J548" s="205" t="s">
        <v>778</v>
      </c>
      <c r="K548" s="237" t="s">
        <v>614</v>
      </c>
      <c r="L548" s="235" t="s">
        <v>2911</v>
      </c>
      <c r="M548" s="197" t="s">
        <v>2912</v>
      </c>
      <c r="N548" s="232"/>
      <c r="O548" s="177"/>
      <c r="P548" s="226">
        <v>46023</v>
      </c>
      <c r="Q548" s="227">
        <f t="shared" si="11"/>
        <v>46387</v>
      </c>
      <c r="R548" s="228">
        <v>365</v>
      </c>
      <c r="S548" s="229"/>
    </row>
    <row r="549" spans="1:19" ht="15.75" customHeight="1" x14ac:dyDescent="0.4">
      <c r="A549">
        <f t="shared" si="10"/>
        <v>548</v>
      </c>
      <c r="B549" s="195" t="s">
        <v>2909</v>
      </c>
      <c r="C549" s="238" t="s">
        <v>3086</v>
      </c>
      <c r="D549" s="239" t="s">
        <v>2054</v>
      </c>
      <c r="E549" s="239" t="s">
        <v>3087</v>
      </c>
      <c r="F549" s="239" t="s">
        <v>3088</v>
      </c>
      <c r="G549" s="239" t="s">
        <v>3089</v>
      </c>
      <c r="H549" s="240" t="s">
        <v>3090</v>
      </c>
      <c r="I549" s="239" t="s">
        <v>3050</v>
      </c>
      <c r="J549" s="199" t="s">
        <v>1033</v>
      </c>
      <c r="K549" s="237" t="s">
        <v>614</v>
      </c>
      <c r="L549" s="235" t="s">
        <v>2911</v>
      </c>
      <c r="M549" s="197" t="s">
        <v>3051</v>
      </c>
      <c r="N549" s="232"/>
      <c r="O549" s="177"/>
      <c r="P549" s="226">
        <v>46028</v>
      </c>
      <c r="Q549" s="227">
        <f t="shared" si="11"/>
        <v>46209</v>
      </c>
      <c r="R549" s="228">
        <v>182</v>
      </c>
      <c r="S549" s="229"/>
    </row>
    <row r="550" spans="1:19" ht="15.75" customHeight="1" x14ac:dyDescent="0.4">
      <c r="A550">
        <f t="shared" si="10"/>
        <v>549</v>
      </c>
      <c r="B550" s="195" t="s">
        <v>2909</v>
      </c>
      <c r="C550" s="238" t="s">
        <v>3091</v>
      </c>
      <c r="D550" s="239" t="s">
        <v>1658</v>
      </c>
      <c r="E550" s="239" t="s">
        <v>716</v>
      </c>
      <c r="F550" s="239" t="s">
        <v>3092</v>
      </c>
      <c r="G550" s="239" t="s">
        <v>3093</v>
      </c>
      <c r="H550" s="240" t="s">
        <v>3094</v>
      </c>
      <c r="I550" s="239" t="s">
        <v>3050</v>
      </c>
      <c r="J550" s="199" t="s">
        <v>721</v>
      </c>
      <c r="K550" s="237" t="s">
        <v>614</v>
      </c>
      <c r="L550" s="235" t="s">
        <v>2911</v>
      </c>
      <c r="M550" s="197" t="s">
        <v>3051</v>
      </c>
      <c r="N550" s="232"/>
      <c r="O550" s="177"/>
      <c r="P550" s="226">
        <v>46024</v>
      </c>
      <c r="Q550" s="227">
        <f t="shared" si="11"/>
        <v>46205</v>
      </c>
      <c r="R550" s="228">
        <v>182</v>
      </c>
      <c r="S550" s="229"/>
    </row>
    <row r="551" spans="1:19" ht="15.75" customHeight="1" x14ac:dyDescent="0.4">
      <c r="A551">
        <f t="shared" si="10"/>
        <v>550</v>
      </c>
      <c r="B551" s="195" t="s">
        <v>2909</v>
      </c>
      <c r="C551" s="238" t="s">
        <v>3095</v>
      </c>
      <c r="D551" s="239" t="s">
        <v>2598</v>
      </c>
      <c r="E551" s="239" t="s">
        <v>679</v>
      </c>
      <c r="F551" s="239" t="s">
        <v>3096</v>
      </c>
      <c r="G551" s="239" t="s">
        <v>3097</v>
      </c>
      <c r="H551" s="240" t="s">
        <v>3098</v>
      </c>
      <c r="I551" s="223" t="s">
        <v>3050</v>
      </c>
      <c r="J551" s="199" t="s">
        <v>1069</v>
      </c>
      <c r="K551" s="234" t="s">
        <v>614</v>
      </c>
      <c r="L551" s="223" t="s">
        <v>2911</v>
      </c>
      <c r="M551" s="197" t="s">
        <v>3051</v>
      </c>
      <c r="N551" s="232"/>
      <c r="O551" s="177"/>
      <c r="P551" s="241">
        <v>46030</v>
      </c>
      <c r="Q551" s="58">
        <f t="shared" si="11"/>
        <v>46211</v>
      </c>
      <c r="R551" s="177">
        <v>182</v>
      </c>
      <c r="S551" s="229"/>
    </row>
    <row r="552" spans="1:19" ht="15.75" customHeight="1" x14ac:dyDescent="0.4">
      <c r="A552">
        <f t="shared" si="10"/>
        <v>551</v>
      </c>
      <c r="B552" s="195" t="s">
        <v>2909</v>
      </c>
      <c r="C552" s="238" t="s">
        <v>3099</v>
      </c>
      <c r="D552" s="239" t="s">
        <v>3100</v>
      </c>
      <c r="E552" s="239" t="s">
        <v>687</v>
      </c>
      <c r="F552" s="239" t="s">
        <v>3101</v>
      </c>
      <c r="G552" s="239" t="s">
        <v>3102</v>
      </c>
      <c r="H552" s="240" t="s">
        <v>3103</v>
      </c>
      <c r="I552" s="239" t="s">
        <v>3050</v>
      </c>
      <c r="J552" s="199" t="s">
        <v>1033</v>
      </c>
      <c r="K552" s="237" t="s">
        <v>614</v>
      </c>
      <c r="L552" s="235" t="s">
        <v>2911</v>
      </c>
      <c r="M552" s="197" t="s">
        <v>3051</v>
      </c>
      <c r="N552" s="232"/>
      <c r="O552" s="177"/>
      <c r="P552" s="241">
        <v>46092</v>
      </c>
      <c r="Q552" s="58">
        <f t="shared" si="11"/>
        <v>46205</v>
      </c>
      <c r="R552" s="177">
        <v>114</v>
      </c>
      <c r="S552" s="229"/>
    </row>
    <row r="553" spans="1:19" ht="15.75" customHeight="1" x14ac:dyDescent="0.4">
      <c r="A553">
        <f t="shared" si="10"/>
        <v>552</v>
      </c>
      <c r="B553" s="195" t="s">
        <v>2909</v>
      </c>
      <c r="C553" s="238" t="s">
        <v>3104</v>
      </c>
      <c r="D553" s="239" t="s">
        <v>747</v>
      </c>
      <c r="E553" s="239" t="s">
        <v>802</v>
      </c>
      <c r="F553" s="239" t="s">
        <v>3105</v>
      </c>
      <c r="G553" s="239" t="s">
        <v>3106</v>
      </c>
      <c r="H553" s="240" t="s">
        <v>3107</v>
      </c>
      <c r="I553" s="239" t="s">
        <v>3050</v>
      </c>
      <c r="J553" s="199" t="s">
        <v>650</v>
      </c>
      <c r="K553" s="237" t="s">
        <v>614</v>
      </c>
      <c r="L553" s="235" t="s">
        <v>2911</v>
      </c>
      <c r="M553" s="197" t="s">
        <v>3051</v>
      </c>
      <c r="N553" s="232"/>
      <c r="O553" s="177"/>
      <c r="P553" s="241">
        <v>46024</v>
      </c>
      <c r="Q553" s="58">
        <f t="shared" si="11"/>
        <v>46205</v>
      </c>
      <c r="R553" s="177">
        <v>182</v>
      </c>
      <c r="S553" s="229"/>
    </row>
    <row r="554" spans="1:19" ht="15.75" customHeight="1" x14ac:dyDescent="0.4">
      <c r="A554">
        <f t="shared" si="10"/>
        <v>553</v>
      </c>
      <c r="B554" s="195" t="s">
        <v>2909</v>
      </c>
      <c r="C554" s="238" t="s">
        <v>3108</v>
      </c>
      <c r="D554" s="239" t="s">
        <v>3109</v>
      </c>
      <c r="E554" s="239" t="s">
        <v>1022</v>
      </c>
      <c r="F554" s="239" t="s">
        <v>3110</v>
      </c>
      <c r="G554" s="239" t="s">
        <v>3111</v>
      </c>
      <c r="H554" s="240" t="s">
        <v>3112</v>
      </c>
      <c r="I554" s="239" t="s">
        <v>3050</v>
      </c>
      <c r="J554" s="199" t="s">
        <v>825</v>
      </c>
      <c r="K554" s="237" t="s">
        <v>614</v>
      </c>
      <c r="L554" s="235" t="s">
        <v>2911</v>
      </c>
      <c r="M554" s="197" t="s">
        <v>3051</v>
      </c>
      <c r="N554" s="232"/>
      <c r="O554" s="177"/>
      <c r="P554" s="241">
        <v>46083</v>
      </c>
      <c r="Q554" s="58">
        <f t="shared" si="11"/>
        <v>46267</v>
      </c>
      <c r="R554" s="177">
        <v>185</v>
      </c>
      <c r="S554" s="229"/>
    </row>
    <row r="555" spans="1:19" ht="15.75" customHeight="1" x14ac:dyDescent="0.4">
      <c r="A555" t="s">
        <v>2890</v>
      </c>
      <c r="B555" s="195" t="s">
        <v>2909</v>
      </c>
      <c r="C555" s="238" t="s">
        <v>364</v>
      </c>
      <c r="D555" s="239" t="s">
        <v>742</v>
      </c>
      <c r="E555" s="239" t="s">
        <v>775</v>
      </c>
      <c r="F555" s="239" t="s">
        <v>776</v>
      </c>
      <c r="G555" s="239" t="s">
        <v>777</v>
      </c>
      <c r="H555" s="240" t="s">
        <v>84</v>
      </c>
      <c r="I555" s="239" t="s">
        <v>1691</v>
      </c>
      <c r="J555" s="231" t="s">
        <v>778</v>
      </c>
      <c r="K555" s="242" t="s">
        <v>614</v>
      </c>
      <c r="L555" s="235" t="s">
        <v>2911</v>
      </c>
      <c r="M555" s="235" t="s">
        <v>3113</v>
      </c>
      <c r="N555" s="232"/>
      <c r="O555" s="177"/>
      <c r="P555" s="241">
        <v>46083</v>
      </c>
      <c r="Q555" s="58">
        <f t="shared" si="11"/>
        <v>46387</v>
      </c>
      <c r="R555" s="177">
        <v>305</v>
      </c>
      <c r="S555" s="229"/>
    </row>
    <row r="556" spans="1:19" ht="15.75" customHeight="1" thickBot="1" x14ac:dyDescent="0.45">
      <c r="B556" s="195" t="s">
        <v>2909</v>
      </c>
      <c r="C556" s="238" t="s">
        <v>3114</v>
      </c>
      <c r="D556" s="239" t="s">
        <v>1801</v>
      </c>
      <c r="E556" s="239" t="s">
        <v>832</v>
      </c>
      <c r="F556" s="239" t="s">
        <v>3115</v>
      </c>
      <c r="G556" s="239" t="s">
        <v>3116</v>
      </c>
      <c r="H556" s="240" t="s">
        <v>3117</v>
      </c>
      <c r="I556" s="239" t="s">
        <v>3050</v>
      </c>
      <c r="J556" s="231" t="s">
        <v>1237</v>
      </c>
      <c r="K556" s="243" t="s">
        <v>614</v>
      </c>
      <c r="L556" s="235" t="s">
        <v>2911</v>
      </c>
      <c r="M556" s="197" t="s">
        <v>3118</v>
      </c>
      <c r="N556" s="232"/>
      <c r="O556" s="177"/>
      <c r="P556" s="241">
        <v>46105</v>
      </c>
      <c r="Q556" s="58">
        <f t="shared" si="11"/>
        <v>46289</v>
      </c>
      <c r="R556" s="177">
        <v>185</v>
      </c>
      <c r="S556" s="229"/>
    </row>
    <row r="557" spans="1:19" ht="15" customHeight="1" x14ac:dyDescent="0.4">
      <c r="A557" t="e">
        <f>#REF!+1</f>
        <v>#REF!</v>
      </c>
      <c r="B557" s="244" t="s">
        <v>3119</v>
      </c>
      <c r="C557" s="245"/>
      <c r="D557" s="246"/>
      <c r="E557" s="246"/>
      <c r="F557" s="247"/>
      <c r="G557" s="247"/>
      <c r="H557" s="248"/>
      <c r="I557" s="247" t="s">
        <v>3120</v>
      </c>
      <c r="J557" s="247" t="s">
        <v>3121</v>
      </c>
      <c r="K557" s="247" t="s">
        <v>614</v>
      </c>
      <c r="L557" s="247" t="s">
        <v>643</v>
      </c>
      <c r="M557" s="249"/>
      <c r="N557" s="250" t="s">
        <v>3122</v>
      </c>
      <c r="O557" s="191" t="s">
        <v>3123</v>
      </c>
      <c r="P557" s="192">
        <v>46104</v>
      </c>
      <c r="Q557" s="58">
        <f t="shared" si="11"/>
        <v>46193</v>
      </c>
      <c r="R557" s="191">
        <v>90</v>
      </c>
      <c r="S557" s="251"/>
    </row>
    <row r="558" spans="1:19" ht="15.75" customHeight="1" thickBot="1" x14ac:dyDescent="0.45">
      <c r="A558" t="e">
        <f t="shared" ref="A558:A621" si="12">A557+1</f>
        <v>#REF!</v>
      </c>
      <c r="B558" s="252" t="s">
        <v>3119</v>
      </c>
      <c r="C558" s="253" t="s">
        <v>580</v>
      </c>
      <c r="D558" s="254" t="s">
        <v>3124</v>
      </c>
      <c r="E558" s="254" t="s">
        <v>3125</v>
      </c>
      <c r="F558" s="255" t="s">
        <v>3126</v>
      </c>
      <c r="G558" s="255" t="s">
        <v>3127</v>
      </c>
      <c r="H558" s="256" t="s">
        <v>3128</v>
      </c>
      <c r="I558" s="255" t="s">
        <v>3120</v>
      </c>
      <c r="J558" s="255" t="s">
        <v>3121</v>
      </c>
      <c r="K558" s="255" t="s">
        <v>614</v>
      </c>
      <c r="L558" s="255" t="s">
        <v>643</v>
      </c>
      <c r="M558" s="257"/>
      <c r="N558" s="258"/>
      <c r="O558" s="259"/>
      <c r="P558" s="78"/>
      <c r="Q558" s="58"/>
      <c r="R558" s="259"/>
      <c r="S558" s="260"/>
    </row>
    <row r="559" spans="1:19" ht="15" customHeight="1" x14ac:dyDescent="0.4">
      <c r="A559" t="e">
        <f t="shared" si="12"/>
        <v>#REF!</v>
      </c>
      <c r="B559" s="261" t="s">
        <v>3129</v>
      </c>
      <c r="C559" s="262" t="s">
        <v>484</v>
      </c>
      <c r="D559" s="263" t="s">
        <v>1850</v>
      </c>
      <c r="E559" s="263" t="s">
        <v>1781</v>
      </c>
      <c r="F559" s="264" t="s">
        <v>3130</v>
      </c>
      <c r="G559" s="264" t="s">
        <v>3131</v>
      </c>
      <c r="H559" s="265" t="s">
        <v>231</v>
      </c>
      <c r="I559" s="263" t="s">
        <v>3132</v>
      </c>
      <c r="J559" s="264" t="s">
        <v>3133</v>
      </c>
      <c r="K559" s="263" t="s">
        <v>614</v>
      </c>
      <c r="L559" s="264" t="s">
        <v>643</v>
      </c>
      <c r="M559" s="266"/>
      <c r="N559" s="250"/>
      <c r="O559" s="191"/>
      <c r="P559" s="192"/>
      <c r="Q559" s="193"/>
      <c r="R559" s="191"/>
      <c r="S559" s="194"/>
    </row>
    <row r="560" spans="1:19" ht="15" customHeight="1" x14ac:dyDescent="0.4">
      <c r="A560" t="e">
        <f t="shared" si="12"/>
        <v>#REF!</v>
      </c>
      <c r="B560" s="267" t="s">
        <v>3129</v>
      </c>
      <c r="C560" s="268" t="s">
        <v>505</v>
      </c>
      <c r="D560" s="269" t="s">
        <v>1658</v>
      </c>
      <c r="E560" s="269" t="s">
        <v>2104</v>
      </c>
      <c r="F560" s="270" t="s">
        <v>3134</v>
      </c>
      <c r="G560" s="270" t="s">
        <v>3135</v>
      </c>
      <c r="H560" s="271" t="s">
        <v>3136</v>
      </c>
      <c r="I560" s="269" t="s">
        <v>2298</v>
      </c>
      <c r="J560" s="270" t="s">
        <v>3133</v>
      </c>
      <c r="K560" s="269" t="s">
        <v>614</v>
      </c>
      <c r="L560" s="270" t="s">
        <v>643</v>
      </c>
      <c r="M560" s="272"/>
      <c r="N560" s="126"/>
      <c r="O560" s="47"/>
      <c r="P560" s="47"/>
      <c r="Q560" s="48"/>
      <c r="R560" s="49"/>
      <c r="S560" s="50"/>
    </row>
    <row r="561" spans="1:19" ht="15" customHeight="1" x14ac:dyDescent="0.4">
      <c r="A561" t="e">
        <f t="shared" si="12"/>
        <v>#REF!</v>
      </c>
      <c r="B561" s="267" t="s">
        <v>3129</v>
      </c>
      <c r="C561" s="268" t="s">
        <v>511</v>
      </c>
      <c r="D561" s="269" t="s">
        <v>747</v>
      </c>
      <c r="E561" s="269" t="s">
        <v>3137</v>
      </c>
      <c r="F561" s="270" t="s">
        <v>3138</v>
      </c>
      <c r="G561" s="270" t="s">
        <v>3139</v>
      </c>
      <c r="H561" s="271" t="s">
        <v>3140</v>
      </c>
      <c r="I561" s="269" t="s">
        <v>2298</v>
      </c>
      <c r="J561" s="270" t="s">
        <v>3133</v>
      </c>
      <c r="K561" s="269" t="s">
        <v>614</v>
      </c>
      <c r="L561" s="270" t="s">
        <v>643</v>
      </c>
      <c r="M561" s="272"/>
      <c r="N561" s="126"/>
      <c r="O561" s="47"/>
      <c r="P561" s="78"/>
      <c r="Q561" s="96"/>
      <c r="R561" s="67"/>
      <c r="S561" s="50"/>
    </row>
    <row r="562" spans="1:19" ht="15" customHeight="1" x14ac:dyDescent="0.4">
      <c r="A562" t="e">
        <f t="shared" si="12"/>
        <v>#REF!</v>
      </c>
      <c r="B562" s="273" t="s">
        <v>3141</v>
      </c>
      <c r="C562" s="274" t="s">
        <v>496</v>
      </c>
      <c r="D562" s="275" t="s">
        <v>1781</v>
      </c>
      <c r="E562" s="275" t="s">
        <v>1331</v>
      </c>
      <c r="F562" s="276" t="s">
        <v>3142</v>
      </c>
      <c r="G562" s="276" t="s">
        <v>3143</v>
      </c>
      <c r="H562" s="277" t="s">
        <v>3144</v>
      </c>
      <c r="I562" s="275" t="s">
        <v>2298</v>
      </c>
      <c r="J562" s="276" t="s">
        <v>3133</v>
      </c>
      <c r="K562" s="275" t="s">
        <v>614</v>
      </c>
      <c r="L562" s="276" t="s">
        <v>643</v>
      </c>
      <c r="M562" s="278"/>
      <c r="N562" s="126"/>
      <c r="O562" s="47"/>
      <c r="P562" s="78"/>
      <c r="Q562" s="58">
        <f>P562+R562-1</f>
        <v>-1</v>
      </c>
      <c r="R562" s="279"/>
      <c r="S562" s="81"/>
    </row>
    <row r="563" spans="1:19" ht="15" customHeight="1" x14ac:dyDescent="0.4">
      <c r="A563" t="e">
        <f t="shared" si="12"/>
        <v>#REF!</v>
      </c>
      <c r="B563" s="267" t="s">
        <v>3129</v>
      </c>
      <c r="C563" s="268" t="s">
        <v>508</v>
      </c>
      <c r="D563" s="269" t="s">
        <v>916</v>
      </c>
      <c r="E563" s="269" t="s">
        <v>1515</v>
      </c>
      <c r="F563" s="270" t="s">
        <v>1538</v>
      </c>
      <c r="G563" s="270" t="s">
        <v>3145</v>
      </c>
      <c r="H563" s="271" t="s">
        <v>3146</v>
      </c>
      <c r="I563" s="269" t="s">
        <v>2298</v>
      </c>
      <c r="J563" s="270" t="s">
        <v>3133</v>
      </c>
      <c r="K563" s="269" t="s">
        <v>614</v>
      </c>
      <c r="L563" s="270" t="s">
        <v>643</v>
      </c>
      <c r="M563" s="272"/>
      <c r="N563" s="126"/>
      <c r="O563" s="47"/>
      <c r="P563" s="78"/>
      <c r="Q563" s="96"/>
      <c r="R563" s="67"/>
      <c r="S563" s="81"/>
    </row>
    <row r="564" spans="1:19" ht="15" customHeight="1" x14ac:dyDescent="0.4">
      <c r="A564" t="e">
        <f t="shared" si="12"/>
        <v>#REF!</v>
      </c>
      <c r="B564" s="273" t="s">
        <v>3129</v>
      </c>
      <c r="C564" s="274" t="s">
        <v>489</v>
      </c>
      <c r="D564" s="275" t="s">
        <v>3147</v>
      </c>
      <c r="E564" s="275" t="s">
        <v>2928</v>
      </c>
      <c r="F564" s="276" t="s">
        <v>3148</v>
      </c>
      <c r="G564" s="276" t="s">
        <v>3149</v>
      </c>
      <c r="H564" s="280" t="s">
        <v>3150</v>
      </c>
      <c r="I564" s="275" t="s">
        <v>2298</v>
      </c>
      <c r="J564" s="276" t="s">
        <v>3133</v>
      </c>
      <c r="K564" s="275" t="s">
        <v>614</v>
      </c>
      <c r="L564" s="276" t="s">
        <v>643</v>
      </c>
      <c r="M564" s="278"/>
      <c r="N564" s="126"/>
      <c r="O564" s="47"/>
      <c r="P564" s="72"/>
      <c r="Q564" s="58">
        <f>P564+R564-1</f>
        <v>-1</v>
      </c>
      <c r="R564" s="49"/>
      <c r="S564" s="50"/>
    </row>
    <row r="565" spans="1:19" ht="15" customHeight="1" x14ac:dyDescent="0.4">
      <c r="A565" t="e">
        <f t="shared" si="12"/>
        <v>#REF!</v>
      </c>
      <c r="B565" s="267" t="s">
        <v>3129</v>
      </c>
      <c r="C565" s="268" t="s">
        <v>502</v>
      </c>
      <c r="D565" s="269" t="s">
        <v>3151</v>
      </c>
      <c r="E565" s="269" t="s">
        <v>3152</v>
      </c>
      <c r="F565" s="270" t="s">
        <v>3153</v>
      </c>
      <c r="G565" s="270" t="s">
        <v>3154</v>
      </c>
      <c r="H565" s="271" t="s">
        <v>3155</v>
      </c>
      <c r="I565" s="270" t="s">
        <v>2298</v>
      </c>
      <c r="J565" s="270" t="s">
        <v>3133</v>
      </c>
      <c r="K565" s="269" t="s">
        <v>614</v>
      </c>
      <c r="L565" s="270" t="s">
        <v>643</v>
      </c>
      <c r="M565" s="281"/>
      <c r="N565" s="126"/>
      <c r="O565" s="47"/>
      <c r="P565" s="72"/>
      <c r="Q565" s="58">
        <f t="shared" ref="Q565" si="13">P565+R565-1</f>
        <v>-1</v>
      </c>
      <c r="R565" s="47"/>
      <c r="S565" s="50"/>
    </row>
    <row r="566" spans="1:19" ht="15" customHeight="1" x14ac:dyDescent="0.4">
      <c r="A566" t="e">
        <f t="shared" si="12"/>
        <v>#REF!</v>
      </c>
      <c r="B566" s="273" t="s">
        <v>3129</v>
      </c>
      <c r="C566" s="274" t="s">
        <v>499</v>
      </c>
      <c r="D566" s="275" t="s">
        <v>3156</v>
      </c>
      <c r="E566" s="275" t="s">
        <v>742</v>
      </c>
      <c r="F566" s="276" t="s">
        <v>3157</v>
      </c>
      <c r="G566" s="276" t="s">
        <v>3158</v>
      </c>
      <c r="H566" s="280" t="s">
        <v>3159</v>
      </c>
      <c r="I566" s="276" t="s">
        <v>2298</v>
      </c>
      <c r="J566" s="276" t="s">
        <v>3133</v>
      </c>
      <c r="K566" s="275" t="s">
        <v>614</v>
      </c>
      <c r="L566" s="276" t="s">
        <v>643</v>
      </c>
      <c r="M566" s="282"/>
      <c r="N566" s="126"/>
      <c r="O566" s="47"/>
      <c r="P566" s="283"/>
      <c r="Q566" s="58"/>
      <c r="R566" s="284"/>
      <c r="S566" s="50"/>
    </row>
    <row r="567" spans="1:19" ht="15.75" customHeight="1" thickBot="1" x14ac:dyDescent="0.45">
      <c r="A567" t="e">
        <f t="shared" si="12"/>
        <v>#REF!</v>
      </c>
      <c r="B567" s="252" t="s">
        <v>3129</v>
      </c>
      <c r="C567" s="253" t="s">
        <v>493</v>
      </c>
      <c r="D567" s="254" t="s">
        <v>3160</v>
      </c>
      <c r="E567" s="254" t="s">
        <v>3160</v>
      </c>
      <c r="F567" s="255" t="s">
        <v>3161</v>
      </c>
      <c r="G567" s="255" t="s">
        <v>3162</v>
      </c>
      <c r="H567" s="256" t="s">
        <v>3163</v>
      </c>
      <c r="I567" s="255" t="s">
        <v>2298</v>
      </c>
      <c r="J567" s="255" t="s">
        <v>3133</v>
      </c>
      <c r="K567" s="269" t="s">
        <v>614</v>
      </c>
      <c r="L567" s="255" t="s">
        <v>643</v>
      </c>
      <c r="M567" s="257"/>
      <c r="N567" s="258"/>
      <c r="O567" s="259"/>
      <c r="P567" s="259"/>
      <c r="Q567" s="285"/>
      <c r="R567" s="286"/>
      <c r="S567" s="287"/>
    </row>
    <row r="568" spans="1:19" ht="15" customHeight="1" x14ac:dyDescent="0.4">
      <c r="A568" t="e">
        <f t="shared" si="12"/>
        <v>#REF!</v>
      </c>
      <c r="B568" s="261" t="s">
        <v>3164</v>
      </c>
      <c r="C568" s="262" t="s">
        <v>544</v>
      </c>
      <c r="D568" s="263" t="s">
        <v>1481</v>
      </c>
      <c r="E568" s="263" t="s">
        <v>659</v>
      </c>
      <c r="F568" s="264" t="s">
        <v>3165</v>
      </c>
      <c r="G568" s="264" t="s">
        <v>3166</v>
      </c>
      <c r="H568" s="265" t="s">
        <v>3167</v>
      </c>
      <c r="I568" s="263" t="s">
        <v>3168</v>
      </c>
      <c r="J568" s="264" t="s">
        <v>3169</v>
      </c>
      <c r="K568" s="275" t="s">
        <v>614</v>
      </c>
      <c r="L568" s="264" t="s">
        <v>643</v>
      </c>
      <c r="M568" s="266"/>
      <c r="N568" s="250"/>
      <c r="O568" s="191"/>
      <c r="P568" s="192"/>
      <c r="Q568" s="193"/>
      <c r="R568" s="191"/>
      <c r="S568" s="194"/>
    </row>
    <row r="569" spans="1:19" ht="15" customHeight="1" x14ac:dyDescent="0.4">
      <c r="A569" t="e">
        <f t="shared" si="12"/>
        <v>#REF!</v>
      </c>
      <c r="B569" s="267" t="s">
        <v>3164</v>
      </c>
      <c r="C569" s="268" t="s">
        <v>548</v>
      </c>
      <c r="D569" s="269" t="s">
        <v>1040</v>
      </c>
      <c r="E569" s="269" t="s">
        <v>3170</v>
      </c>
      <c r="F569" s="270" t="s">
        <v>3171</v>
      </c>
      <c r="G569" s="270" t="s">
        <v>3172</v>
      </c>
      <c r="H569" s="288" t="s">
        <v>3173</v>
      </c>
      <c r="I569" s="269" t="s">
        <v>1123</v>
      </c>
      <c r="J569" s="270" t="s">
        <v>3169</v>
      </c>
      <c r="K569" s="269" t="s">
        <v>614</v>
      </c>
      <c r="L569" s="270" t="s">
        <v>643</v>
      </c>
      <c r="M569" s="272"/>
      <c r="N569" s="126"/>
      <c r="O569" s="47"/>
      <c r="P569" s="47"/>
      <c r="Q569" s="48"/>
      <c r="R569" s="49"/>
      <c r="S569" s="50"/>
    </row>
    <row r="570" spans="1:19" ht="15" customHeight="1" x14ac:dyDescent="0.4">
      <c r="A570" t="e">
        <f t="shared" si="12"/>
        <v>#REF!</v>
      </c>
      <c r="B570" s="267" t="s">
        <v>3164</v>
      </c>
      <c r="C570" s="268" t="s">
        <v>568</v>
      </c>
      <c r="D570" s="269" t="s">
        <v>699</v>
      </c>
      <c r="E570" s="269" t="s">
        <v>1542</v>
      </c>
      <c r="F570" s="270" t="s">
        <v>3174</v>
      </c>
      <c r="G570" s="270" t="s">
        <v>3175</v>
      </c>
      <c r="H570" s="288" t="s">
        <v>3176</v>
      </c>
      <c r="I570" s="269" t="s">
        <v>925</v>
      </c>
      <c r="J570" s="270" t="s">
        <v>3169</v>
      </c>
      <c r="K570" s="269" t="s">
        <v>614</v>
      </c>
      <c r="L570" s="270" t="s">
        <v>643</v>
      </c>
      <c r="M570" s="272"/>
      <c r="N570" s="126"/>
      <c r="O570" s="47"/>
      <c r="P570" s="78"/>
      <c r="Q570" s="96"/>
      <c r="R570" s="67"/>
      <c r="S570" s="50"/>
    </row>
    <row r="571" spans="1:19" ht="15" customHeight="1" x14ac:dyDescent="0.4">
      <c r="A571" t="e">
        <f t="shared" si="12"/>
        <v>#REF!</v>
      </c>
      <c r="B571" s="267" t="s">
        <v>3164</v>
      </c>
      <c r="C571" s="268" t="s">
        <v>577</v>
      </c>
      <c r="D571" s="269" t="s">
        <v>1677</v>
      </c>
      <c r="E571" s="269" t="s">
        <v>699</v>
      </c>
      <c r="F571" s="270" t="s">
        <v>3177</v>
      </c>
      <c r="G571" s="270" t="s">
        <v>3178</v>
      </c>
      <c r="H571" s="271" t="s">
        <v>3179</v>
      </c>
      <c r="I571" s="269" t="s">
        <v>925</v>
      </c>
      <c r="J571" s="270" t="s">
        <v>3169</v>
      </c>
      <c r="K571" s="269" t="s">
        <v>614</v>
      </c>
      <c r="L571" s="270" t="s">
        <v>643</v>
      </c>
      <c r="M571" s="272"/>
      <c r="N571" s="126"/>
      <c r="O571" s="47"/>
      <c r="P571" s="78"/>
      <c r="Q571" s="96"/>
      <c r="R571" s="67"/>
      <c r="S571" s="81"/>
    </row>
    <row r="572" spans="1:19" ht="15" customHeight="1" x14ac:dyDescent="0.4">
      <c r="A572" t="e">
        <f t="shared" si="12"/>
        <v>#REF!</v>
      </c>
      <c r="B572" s="267" t="s">
        <v>3164</v>
      </c>
      <c r="C572" s="268" t="s">
        <v>562</v>
      </c>
      <c r="D572" s="269" t="s">
        <v>1048</v>
      </c>
      <c r="E572" s="269" t="s">
        <v>3180</v>
      </c>
      <c r="F572" s="270" t="s">
        <v>3181</v>
      </c>
      <c r="G572" s="270" t="s">
        <v>3182</v>
      </c>
      <c r="H572" s="288" t="s">
        <v>3183</v>
      </c>
      <c r="I572" s="269" t="s">
        <v>925</v>
      </c>
      <c r="J572" s="270" t="s">
        <v>3169</v>
      </c>
      <c r="K572" s="269" t="s">
        <v>614</v>
      </c>
      <c r="L572" s="270" t="s">
        <v>643</v>
      </c>
      <c r="M572" s="272"/>
      <c r="N572" s="126"/>
      <c r="O572" s="47"/>
      <c r="P572" s="78"/>
      <c r="Q572" s="96"/>
      <c r="R572" s="67"/>
      <c r="S572" s="81"/>
    </row>
    <row r="573" spans="1:19" ht="15" customHeight="1" x14ac:dyDescent="0.4">
      <c r="A573" t="e">
        <f t="shared" si="12"/>
        <v>#REF!</v>
      </c>
      <c r="B573" s="267" t="s">
        <v>3164</v>
      </c>
      <c r="C573" s="268" t="s">
        <v>574</v>
      </c>
      <c r="D573" s="269" t="s">
        <v>652</v>
      </c>
      <c r="E573" s="269" t="s">
        <v>3184</v>
      </c>
      <c r="F573" s="270" t="s">
        <v>3185</v>
      </c>
      <c r="G573" s="270" t="s">
        <v>3186</v>
      </c>
      <c r="H573" s="271" t="s">
        <v>3187</v>
      </c>
      <c r="I573" s="269" t="s">
        <v>925</v>
      </c>
      <c r="J573" s="270" t="s">
        <v>3169</v>
      </c>
      <c r="K573" s="269" t="s">
        <v>614</v>
      </c>
      <c r="L573" s="270" t="s">
        <v>643</v>
      </c>
      <c r="M573" s="272"/>
      <c r="N573" s="126"/>
      <c r="O573" s="47"/>
      <c r="P573" s="78"/>
      <c r="Q573" s="96"/>
      <c r="R573" s="67"/>
      <c r="S573" s="81"/>
    </row>
    <row r="574" spans="1:19" ht="15" customHeight="1" x14ac:dyDescent="0.4">
      <c r="A574" t="e">
        <f t="shared" si="12"/>
        <v>#REF!</v>
      </c>
      <c r="B574" s="267" t="s">
        <v>3164</v>
      </c>
      <c r="C574" s="268" t="s">
        <v>571</v>
      </c>
      <c r="D574" s="269" t="s">
        <v>815</v>
      </c>
      <c r="E574" s="269" t="s">
        <v>3188</v>
      </c>
      <c r="F574" s="270" t="s">
        <v>3189</v>
      </c>
      <c r="G574" s="270" t="s">
        <v>3189</v>
      </c>
      <c r="H574" s="288" t="s">
        <v>3190</v>
      </c>
      <c r="I574" s="269" t="s">
        <v>925</v>
      </c>
      <c r="J574" s="270" t="s">
        <v>3169</v>
      </c>
      <c r="K574" s="269" t="s">
        <v>614</v>
      </c>
      <c r="L574" s="270" t="s">
        <v>643</v>
      </c>
      <c r="M574" s="272"/>
      <c r="N574" s="126"/>
      <c r="O574" s="47"/>
      <c r="P574" s="78"/>
      <c r="Q574" s="96"/>
      <c r="R574" s="67"/>
      <c r="S574" s="81"/>
    </row>
    <row r="575" spans="1:19" ht="15" customHeight="1" x14ac:dyDescent="0.4">
      <c r="A575" t="e">
        <f t="shared" si="12"/>
        <v>#REF!</v>
      </c>
      <c r="B575" s="267" t="s">
        <v>3164</v>
      </c>
      <c r="C575" s="268" t="s">
        <v>559</v>
      </c>
      <c r="D575" s="269" t="s">
        <v>1104</v>
      </c>
      <c r="E575" s="269" t="s">
        <v>1104</v>
      </c>
      <c r="F575" s="270" t="s">
        <v>3191</v>
      </c>
      <c r="G575" s="270" t="s">
        <v>3192</v>
      </c>
      <c r="H575" s="288" t="s">
        <v>3193</v>
      </c>
      <c r="I575" s="269" t="s">
        <v>925</v>
      </c>
      <c r="J575" s="270" t="s">
        <v>3169</v>
      </c>
      <c r="K575" s="269" t="s">
        <v>614</v>
      </c>
      <c r="L575" s="270" t="s">
        <v>643</v>
      </c>
      <c r="M575" s="272"/>
      <c r="N575" s="126"/>
      <c r="O575" s="47"/>
      <c r="P575" s="47"/>
      <c r="Q575" s="48"/>
      <c r="R575" s="49"/>
      <c r="S575" s="50"/>
    </row>
    <row r="576" spans="1:19" ht="15" customHeight="1" x14ac:dyDescent="0.4">
      <c r="A576" t="e">
        <f t="shared" si="12"/>
        <v>#REF!</v>
      </c>
      <c r="B576" s="267" t="s">
        <v>3164</v>
      </c>
      <c r="C576" s="268" t="s">
        <v>565</v>
      </c>
      <c r="D576" s="269" t="s">
        <v>3194</v>
      </c>
      <c r="E576" s="269" t="s">
        <v>1924</v>
      </c>
      <c r="F576" s="270" t="s">
        <v>3195</v>
      </c>
      <c r="G576" s="270" t="s">
        <v>3196</v>
      </c>
      <c r="H576" s="288" t="s">
        <v>3197</v>
      </c>
      <c r="I576" s="269" t="s">
        <v>925</v>
      </c>
      <c r="J576" s="270" t="s">
        <v>3169</v>
      </c>
      <c r="K576" s="269" t="s">
        <v>614</v>
      </c>
      <c r="L576" s="270" t="s">
        <v>643</v>
      </c>
      <c r="M576" s="281"/>
      <c r="N576" s="126"/>
      <c r="O576" s="47"/>
      <c r="P576" s="78"/>
      <c r="Q576" s="96"/>
      <c r="R576" s="67"/>
      <c r="S576" s="50"/>
    </row>
    <row r="577" spans="1:29" ht="15" customHeight="1" x14ac:dyDescent="0.4">
      <c r="A577" t="e">
        <f t="shared" si="12"/>
        <v>#REF!</v>
      </c>
      <c r="B577" s="267" t="s">
        <v>3164</v>
      </c>
      <c r="C577" s="268" t="s">
        <v>556</v>
      </c>
      <c r="D577" s="269" t="s">
        <v>716</v>
      </c>
      <c r="E577" s="269" t="s">
        <v>2585</v>
      </c>
      <c r="F577" s="270" t="s">
        <v>3198</v>
      </c>
      <c r="G577" s="270" t="s">
        <v>3199</v>
      </c>
      <c r="H577" s="288" t="s">
        <v>3200</v>
      </c>
      <c r="I577" s="269" t="s">
        <v>925</v>
      </c>
      <c r="J577" s="270" t="s">
        <v>3169</v>
      </c>
      <c r="K577" s="269" t="s">
        <v>614</v>
      </c>
      <c r="L577" s="270" t="s">
        <v>643</v>
      </c>
      <c r="M577" s="281"/>
      <c r="N577" s="126"/>
      <c r="O577" s="47"/>
      <c r="P577" s="47"/>
      <c r="Q577" s="48"/>
      <c r="R577" s="49"/>
      <c r="S577" s="50"/>
    </row>
    <row r="578" spans="1:29" ht="15.75" customHeight="1" thickBot="1" x14ac:dyDescent="0.45">
      <c r="A578" t="e">
        <f t="shared" si="12"/>
        <v>#REF!</v>
      </c>
      <c r="B578" s="252" t="s">
        <v>3164</v>
      </c>
      <c r="C578" s="253" t="s">
        <v>552</v>
      </c>
      <c r="D578" s="254" t="s">
        <v>2329</v>
      </c>
      <c r="E578" s="254" t="s">
        <v>963</v>
      </c>
      <c r="F578" s="255" t="s">
        <v>3201</v>
      </c>
      <c r="G578" s="255" t="s">
        <v>3202</v>
      </c>
      <c r="H578" s="289" t="s">
        <v>3203</v>
      </c>
      <c r="I578" s="255" t="s">
        <v>925</v>
      </c>
      <c r="J578" s="255" t="s">
        <v>3169</v>
      </c>
      <c r="K578" s="255" t="s">
        <v>614</v>
      </c>
      <c r="L578" s="255" t="s">
        <v>643</v>
      </c>
      <c r="M578" s="257"/>
      <c r="N578" s="258"/>
      <c r="O578" s="259"/>
      <c r="P578" s="259"/>
      <c r="Q578" s="285"/>
      <c r="R578" s="286"/>
      <c r="S578" s="287"/>
    </row>
    <row r="579" spans="1:29" ht="15" customHeight="1" x14ac:dyDescent="0.4">
      <c r="A579" t="e">
        <f t="shared" si="12"/>
        <v>#REF!</v>
      </c>
      <c r="B579" s="261" t="s">
        <v>3204</v>
      </c>
      <c r="C579" s="262" t="s">
        <v>517</v>
      </c>
      <c r="D579" s="263" t="s">
        <v>1375</v>
      </c>
      <c r="E579" s="263" t="s">
        <v>3205</v>
      </c>
      <c r="F579" s="264" t="s">
        <v>3206</v>
      </c>
      <c r="G579" s="264" t="s">
        <v>3207</v>
      </c>
      <c r="H579" s="265" t="s">
        <v>236</v>
      </c>
      <c r="I579" s="263" t="s">
        <v>3168</v>
      </c>
      <c r="J579" s="264" t="s">
        <v>3208</v>
      </c>
      <c r="K579" s="263" t="s">
        <v>614</v>
      </c>
      <c r="L579" s="264" t="s">
        <v>643</v>
      </c>
      <c r="M579" s="266"/>
      <c r="N579" s="250"/>
      <c r="O579" s="290"/>
      <c r="P579" s="290"/>
      <c r="Q579" s="291"/>
      <c r="R579" s="292"/>
      <c r="S579" s="293"/>
    </row>
    <row r="580" spans="1:29" ht="15" customHeight="1" thickBot="1" x14ac:dyDescent="0.45">
      <c r="A580" t="e">
        <f t="shared" si="12"/>
        <v>#REF!</v>
      </c>
      <c r="B580" s="267" t="s">
        <v>3204</v>
      </c>
      <c r="C580" s="268" t="s">
        <v>532</v>
      </c>
      <c r="D580" s="269" t="s">
        <v>1297</v>
      </c>
      <c r="E580" s="269" t="s">
        <v>952</v>
      </c>
      <c r="F580" s="270" t="s">
        <v>3209</v>
      </c>
      <c r="G580" s="270" t="s">
        <v>3210</v>
      </c>
      <c r="H580" s="271" t="s">
        <v>3211</v>
      </c>
      <c r="I580" s="269" t="s">
        <v>3054</v>
      </c>
      <c r="J580" s="270" t="s">
        <v>3208</v>
      </c>
      <c r="K580" s="269" t="s">
        <v>614</v>
      </c>
      <c r="L580" s="270" t="s">
        <v>643</v>
      </c>
      <c r="M580" s="272"/>
      <c r="N580" s="126"/>
      <c r="O580" s="47"/>
      <c r="P580" s="47"/>
      <c r="Q580" s="48"/>
      <c r="R580" s="49"/>
      <c r="S580" s="50"/>
    </row>
    <row r="581" spans="1:29" ht="15" customHeight="1" x14ac:dyDescent="0.4">
      <c r="A581" t="e">
        <f t="shared" si="12"/>
        <v>#REF!</v>
      </c>
      <c r="B581" s="273" t="s">
        <v>3204</v>
      </c>
      <c r="C581" s="274" t="s">
        <v>538</v>
      </c>
      <c r="D581" s="275" t="s">
        <v>2329</v>
      </c>
      <c r="E581" s="275" t="s">
        <v>742</v>
      </c>
      <c r="F581" s="276" t="s">
        <v>3212</v>
      </c>
      <c r="G581" s="276" t="s">
        <v>3213</v>
      </c>
      <c r="H581" s="276" t="s">
        <v>3214</v>
      </c>
      <c r="I581" s="275" t="s">
        <v>3054</v>
      </c>
      <c r="J581" s="276" t="s">
        <v>3208</v>
      </c>
      <c r="K581" s="294" t="s">
        <v>614</v>
      </c>
      <c r="L581" s="276" t="s">
        <v>643</v>
      </c>
      <c r="M581" s="278"/>
      <c r="N581" s="126"/>
      <c r="O581" s="47"/>
      <c r="P581" s="72"/>
      <c r="Q581" s="58">
        <f>P581+R581-1</f>
        <v>-1</v>
      </c>
      <c r="R581" s="47"/>
      <c r="S581" s="50"/>
    </row>
    <row r="582" spans="1:29" ht="15" customHeight="1" x14ac:dyDescent="0.4">
      <c r="A582" t="e">
        <f t="shared" si="12"/>
        <v>#REF!</v>
      </c>
      <c r="B582" s="295" t="s">
        <v>3204</v>
      </c>
      <c r="C582" s="296" t="s">
        <v>526</v>
      </c>
      <c r="D582" s="297" t="s">
        <v>1723</v>
      </c>
      <c r="E582" s="297" t="s">
        <v>808</v>
      </c>
      <c r="F582" s="298" t="s">
        <v>3215</v>
      </c>
      <c r="G582" s="298" t="s">
        <v>3216</v>
      </c>
      <c r="H582" s="299" t="s">
        <v>3217</v>
      </c>
      <c r="I582" s="297" t="s">
        <v>3054</v>
      </c>
      <c r="J582" s="298" t="s">
        <v>3208</v>
      </c>
      <c r="K582" s="269" t="s">
        <v>614</v>
      </c>
      <c r="L582" s="298" t="s">
        <v>643</v>
      </c>
      <c r="M582" s="300"/>
      <c r="N582" s="42"/>
      <c r="O582" s="47"/>
      <c r="P582" s="78"/>
      <c r="Q582" s="96"/>
      <c r="R582" s="301"/>
      <c r="S582" s="69"/>
    </row>
    <row r="583" spans="1:29" ht="15" customHeight="1" thickBot="1" x14ac:dyDescent="0.45">
      <c r="A583" t="e">
        <f t="shared" si="12"/>
        <v>#REF!</v>
      </c>
      <c r="B583" s="267" t="s">
        <v>3204</v>
      </c>
      <c r="C583" s="302" t="s">
        <v>3218</v>
      </c>
      <c r="D583" s="303" t="s">
        <v>3219</v>
      </c>
      <c r="E583" s="303" t="s">
        <v>1454</v>
      </c>
      <c r="F583" s="304" t="s">
        <v>3220</v>
      </c>
      <c r="G583" s="304" t="s">
        <v>3221</v>
      </c>
      <c r="H583" s="305" t="s">
        <v>3222</v>
      </c>
      <c r="I583" s="275" t="s">
        <v>3054</v>
      </c>
      <c r="J583" s="276" t="s">
        <v>3208</v>
      </c>
      <c r="K583" s="275" t="s">
        <v>614</v>
      </c>
      <c r="L583" s="306" t="s">
        <v>643</v>
      </c>
      <c r="M583" s="307"/>
      <c r="N583" s="308"/>
      <c r="O583" s="308"/>
      <c r="P583" s="72"/>
      <c r="Q583" s="96"/>
      <c r="R583" s="47"/>
      <c r="S583" s="50"/>
    </row>
    <row r="584" spans="1:29" ht="15.75" customHeight="1" thickBot="1" x14ac:dyDescent="0.45">
      <c r="A584" t="e">
        <f t="shared" si="12"/>
        <v>#REF!</v>
      </c>
      <c r="B584" s="309" t="s">
        <v>3204</v>
      </c>
      <c r="C584" s="310" t="s">
        <v>522</v>
      </c>
      <c r="D584" s="311" t="s">
        <v>916</v>
      </c>
      <c r="E584" s="311" t="s">
        <v>1677</v>
      </c>
      <c r="F584" s="306" t="s">
        <v>3223</v>
      </c>
      <c r="G584" s="306" t="s">
        <v>3224</v>
      </c>
      <c r="H584" s="312" t="s">
        <v>3225</v>
      </c>
      <c r="I584" s="311" t="s">
        <v>3054</v>
      </c>
      <c r="J584" s="306" t="s">
        <v>3208</v>
      </c>
      <c r="K584" s="297" t="s">
        <v>614</v>
      </c>
      <c r="L584" s="306" t="s">
        <v>643</v>
      </c>
      <c r="M584" s="313"/>
      <c r="N584" s="258"/>
      <c r="O584" s="259"/>
      <c r="P584" s="226"/>
      <c r="Q584" s="227">
        <f>P584+R584-1</f>
        <v>-1</v>
      </c>
      <c r="R584" s="228"/>
      <c r="S584" s="137"/>
    </row>
    <row r="585" spans="1:29" ht="15.75" customHeight="1" thickBot="1" x14ac:dyDescent="0.45">
      <c r="A585" t="e">
        <f t="shared" si="12"/>
        <v>#REF!</v>
      </c>
      <c r="B585" s="252" t="s">
        <v>3204</v>
      </c>
      <c r="C585" s="274" t="s">
        <v>535</v>
      </c>
      <c r="D585" s="275" t="s">
        <v>2598</v>
      </c>
      <c r="E585" s="275" t="s">
        <v>975</v>
      </c>
      <c r="F585" s="276" t="s">
        <v>917</v>
      </c>
      <c r="G585" s="276" t="s">
        <v>3226</v>
      </c>
      <c r="H585" s="280" t="s">
        <v>3227</v>
      </c>
      <c r="I585" s="275" t="s">
        <v>3054</v>
      </c>
      <c r="J585" s="276" t="s">
        <v>3208</v>
      </c>
      <c r="K585" s="275" t="s">
        <v>614</v>
      </c>
      <c r="L585" s="276" t="s">
        <v>643</v>
      </c>
      <c r="M585" s="274"/>
      <c r="N585" s="42"/>
      <c r="O585" s="42"/>
      <c r="P585" s="154"/>
      <c r="Q585" s="154"/>
      <c r="R585" s="160"/>
      <c r="S585" s="314"/>
      <c r="T585" s="315"/>
      <c r="U585" s="316"/>
      <c r="V585" s="315"/>
      <c r="W585" s="316"/>
      <c r="X585" s="316"/>
      <c r="Y585" s="24"/>
      <c r="Z585" s="98"/>
      <c r="AA585" s="98"/>
      <c r="AB585" s="24"/>
      <c r="AC585" s="317"/>
    </row>
    <row r="586" spans="1:29" ht="15" customHeight="1" x14ac:dyDescent="0.4">
      <c r="A586" t="e">
        <f t="shared" si="12"/>
        <v>#REF!</v>
      </c>
      <c r="B586" s="318" t="s">
        <v>3228</v>
      </c>
      <c r="C586" s="319" t="s">
        <v>3229</v>
      </c>
      <c r="D586" s="320" t="s">
        <v>2787</v>
      </c>
      <c r="E586" s="320" t="s">
        <v>2787</v>
      </c>
      <c r="F586" s="320" t="s">
        <v>3230</v>
      </c>
      <c r="G586" s="320" t="s">
        <v>3231</v>
      </c>
      <c r="H586" s="320" t="s">
        <v>3232</v>
      </c>
      <c r="I586" s="320" t="s">
        <v>3233</v>
      </c>
      <c r="J586" s="320" t="s">
        <v>3234</v>
      </c>
      <c r="K586" s="320" t="s">
        <v>614</v>
      </c>
      <c r="L586" s="320" t="s">
        <v>643</v>
      </c>
      <c r="M586" s="320"/>
      <c r="N586" s="177"/>
      <c r="O586" s="321"/>
      <c r="P586" s="321"/>
      <c r="Q586" s="322"/>
      <c r="R586" s="323"/>
      <c r="S586" s="324"/>
    </row>
    <row r="587" spans="1:29" ht="15" customHeight="1" x14ac:dyDescent="0.4">
      <c r="A587" t="e">
        <f t="shared" si="12"/>
        <v>#REF!</v>
      </c>
      <c r="B587" s="318" t="s">
        <v>3228</v>
      </c>
      <c r="C587" s="325" t="s">
        <v>3235</v>
      </c>
      <c r="D587" s="326" t="s">
        <v>692</v>
      </c>
      <c r="E587" s="326" t="s">
        <v>699</v>
      </c>
      <c r="F587" s="326" t="s">
        <v>3236</v>
      </c>
      <c r="G587" s="326" t="s">
        <v>3237</v>
      </c>
      <c r="H587" s="326" t="s">
        <v>3238</v>
      </c>
      <c r="I587" s="326" t="s">
        <v>2796</v>
      </c>
      <c r="J587" s="326" t="s">
        <v>3234</v>
      </c>
      <c r="K587" s="326" t="s">
        <v>614</v>
      </c>
      <c r="L587" s="326" t="s">
        <v>643</v>
      </c>
      <c r="M587" s="326"/>
      <c r="N587" s="177"/>
      <c r="O587" s="321"/>
      <c r="P587" s="321"/>
      <c r="Q587" s="322"/>
      <c r="R587" s="323"/>
      <c r="S587" s="327"/>
    </row>
    <row r="588" spans="1:29" ht="15" customHeight="1" x14ac:dyDescent="0.4">
      <c r="A588" t="e">
        <f t="shared" si="12"/>
        <v>#REF!</v>
      </c>
      <c r="B588" s="328" t="s">
        <v>3228</v>
      </c>
      <c r="C588" s="319" t="s">
        <v>3239</v>
      </c>
      <c r="D588" s="320" t="s">
        <v>747</v>
      </c>
      <c r="E588" s="320" t="s">
        <v>1491</v>
      </c>
      <c r="F588" s="320" t="s">
        <v>1058</v>
      </c>
      <c r="G588" s="320" t="s">
        <v>3240</v>
      </c>
      <c r="H588" s="320" t="s">
        <v>3241</v>
      </c>
      <c r="I588" s="320" t="s">
        <v>3242</v>
      </c>
      <c r="J588" s="320" t="s">
        <v>3234</v>
      </c>
      <c r="K588" s="320" t="s">
        <v>614</v>
      </c>
      <c r="L588" s="320" t="s">
        <v>643</v>
      </c>
      <c r="M588" s="320"/>
      <c r="N588" s="47"/>
      <c r="O588" s="47"/>
      <c r="P588" s="47"/>
      <c r="Q588" s="48"/>
      <c r="R588" s="49"/>
      <c r="S588" s="50"/>
    </row>
    <row r="589" spans="1:29" ht="15" customHeight="1" x14ac:dyDescent="0.4">
      <c r="A589" t="e">
        <f t="shared" si="12"/>
        <v>#REF!</v>
      </c>
      <c r="B589" s="328" t="s">
        <v>3228</v>
      </c>
      <c r="C589" s="319" t="s">
        <v>3243</v>
      </c>
      <c r="D589" s="320" t="s">
        <v>1186</v>
      </c>
      <c r="E589" s="320" t="s">
        <v>832</v>
      </c>
      <c r="F589" s="320" t="s">
        <v>3244</v>
      </c>
      <c r="G589" s="320" t="s">
        <v>3245</v>
      </c>
      <c r="H589" s="329" t="s">
        <v>3246</v>
      </c>
      <c r="I589" s="320" t="s">
        <v>3247</v>
      </c>
      <c r="J589" s="320" t="s">
        <v>3234</v>
      </c>
      <c r="K589" s="320" t="s">
        <v>614</v>
      </c>
      <c r="L589" s="320" t="s">
        <v>643</v>
      </c>
      <c r="M589" s="320"/>
      <c r="N589" s="47"/>
      <c r="O589" s="47"/>
      <c r="P589" s="47"/>
      <c r="Q589" s="48"/>
      <c r="R589" s="49"/>
      <c r="S589" s="50"/>
    </row>
    <row r="590" spans="1:29" ht="15" customHeight="1" x14ac:dyDescent="0.4">
      <c r="A590" t="e">
        <f>#REF!+1</f>
        <v>#REF!</v>
      </c>
      <c r="B590" s="328" t="s">
        <v>3228</v>
      </c>
      <c r="C590" s="319" t="s">
        <v>3248</v>
      </c>
      <c r="D590" s="320" t="s">
        <v>699</v>
      </c>
      <c r="E590" s="320" t="s">
        <v>1151</v>
      </c>
      <c r="F590" s="320" t="s">
        <v>3249</v>
      </c>
      <c r="G590" s="320" t="s">
        <v>3250</v>
      </c>
      <c r="H590" s="320" t="s">
        <v>3251</v>
      </c>
      <c r="I590" s="320" t="s">
        <v>3233</v>
      </c>
      <c r="J590" s="320" t="s">
        <v>3234</v>
      </c>
      <c r="K590" s="320" t="s">
        <v>614</v>
      </c>
      <c r="L590" s="320" t="s">
        <v>643</v>
      </c>
      <c r="M590" s="320"/>
      <c r="N590" s="47"/>
      <c r="O590" s="47"/>
      <c r="P590" s="47"/>
      <c r="Q590" s="48"/>
      <c r="R590" s="49"/>
      <c r="S590" s="50"/>
    </row>
    <row r="591" spans="1:29" ht="15" customHeight="1" x14ac:dyDescent="0.4">
      <c r="A591" t="e">
        <f t="shared" si="12"/>
        <v>#REF!</v>
      </c>
      <c r="B591" s="328" t="s">
        <v>3228</v>
      </c>
      <c r="C591" s="319" t="s">
        <v>3252</v>
      </c>
      <c r="D591" s="320" t="s">
        <v>687</v>
      </c>
      <c r="E591" s="320" t="s">
        <v>1966</v>
      </c>
      <c r="F591" s="320" t="s">
        <v>3253</v>
      </c>
      <c r="G591" s="320" t="s">
        <v>3254</v>
      </c>
      <c r="H591" s="329" t="s">
        <v>3255</v>
      </c>
      <c r="I591" s="320" t="s">
        <v>3256</v>
      </c>
      <c r="J591" s="320" t="s">
        <v>3234</v>
      </c>
      <c r="K591" s="320" t="s">
        <v>614</v>
      </c>
      <c r="L591" s="320" t="s">
        <v>643</v>
      </c>
      <c r="M591" s="320"/>
      <c r="N591" s="47"/>
      <c r="O591" s="47"/>
      <c r="P591" s="47"/>
      <c r="Q591" s="48"/>
      <c r="R591" s="49"/>
      <c r="S591" s="50"/>
    </row>
    <row r="592" spans="1:29" ht="15" customHeight="1" x14ac:dyDescent="0.4">
      <c r="A592" t="e">
        <f t="shared" si="12"/>
        <v>#REF!</v>
      </c>
      <c r="B592" s="328" t="s">
        <v>3228</v>
      </c>
      <c r="C592" s="319" t="s">
        <v>3257</v>
      </c>
      <c r="D592" s="320" t="s">
        <v>1421</v>
      </c>
      <c r="E592" s="320" t="s">
        <v>3258</v>
      </c>
      <c r="F592" s="320" t="s">
        <v>3259</v>
      </c>
      <c r="G592" s="320" t="s">
        <v>3260</v>
      </c>
      <c r="H592" s="329" t="s">
        <v>3261</v>
      </c>
      <c r="I592" s="330" t="s">
        <v>762</v>
      </c>
      <c r="J592" s="330" t="s">
        <v>3234</v>
      </c>
      <c r="K592" s="330" t="s">
        <v>614</v>
      </c>
      <c r="L592" s="330" t="s">
        <v>643</v>
      </c>
      <c r="M592" s="320"/>
      <c r="N592" s="47"/>
      <c r="O592" s="47"/>
      <c r="P592" s="47"/>
      <c r="Q592" s="48"/>
      <c r="R592" s="49"/>
      <c r="S592" s="50"/>
    </row>
    <row r="593" spans="1:19" ht="15" customHeight="1" x14ac:dyDescent="0.4">
      <c r="A593" t="e">
        <f t="shared" si="12"/>
        <v>#REF!</v>
      </c>
      <c r="B593" s="328" t="s">
        <v>3228</v>
      </c>
      <c r="C593" s="319" t="s">
        <v>3262</v>
      </c>
      <c r="D593" s="320" t="s">
        <v>815</v>
      </c>
      <c r="E593" s="320" t="s">
        <v>3263</v>
      </c>
      <c r="F593" s="320" t="s">
        <v>3264</v>
      </c>
      <c r="G593" s="320" t="s">
        <v>3265</v>
      </c>
      <c r="H593" s="329" t="s">
        <v>3266</v>
      </c>
      <c r="I593" s="330" t="s">
        <v>3267</v>
      </c>
      <c r="J593" s="330" t="s">
        <v>3234</v>
      </c>
      <c r="K593" s="330" t="s">
        <v>614</v>
      </c>
      <c r="L593" s="330" t="s">
        <v>643</v>
      </c>
      <c r="M593" s="320"/>
      <c r="N593" s="47"/>
      <c r="O593" s="47"/>
      <c r="P593" s="47"/>
      <c r="Q593" s="48"/>
      <c r="R593" s="49"/>
      <c r="S593" s="50"/>
    </row>
    <row r="594" spans="1:19" ht="15" customHeight="1" x14ac:dyDescent="0.4">
      <c r="A594" t="e">
        <f t="shared" si="12"/>
        <v>#REF!</v>
      </c>
      <c r="B594" s="328" t="s">
        <v>3228</v>
      </c>
      <c r="C594" s="319" t="s">
        <v>3268</v>
      </c>
      <c r="D594" s="320" t="s">
        <v>3269</v>
      </c>
      <c r="E594" s="320" t="s">
        <v>2928</v>
      </c>
      <c r="F594" s="320" t="s">
        <v>3270</v>
      </c>
      <c r="G594" s="320" t="s">
        <v>3271</v>
      </c>
      <c r="H594" s="320" t="s">
        <v>3272</v>
      </c>
      <c r="I594" s="330" t="s">
        <v>3273</v>
      </c>
      <c r="J594" s="330" t="s">
        <v>3234</v>
      </c>
      <c r="K594" s="330" t="s">
        <v>614</v>
      </c>
      <c r="L594" s="330" t="s">
        <v>643</v>
      </c>
      <c r="M594" s="320"/>
      <c r="N594" s="47"/>
      <c r="O594" s="47"/>
      <c r="P594" s="47"/>
      <c r="Q594" s="48"/>
      <c r="R594" s="49"/>
      <c r="S594" s="50"/>
    </row>
    <row r="595" spans="1:19" ht="15" customHeight="1" x14ac:dyDescent="0.4">
      <c r="A595" t="e">
        <f t="shared" si="12"/>
        <v>#REF!</v>
      </c>
      <c r="B595" s="328" t="s">
        <v>3228</v>
      </c>
      <c r="C595" s="331" t="s">
        <v>3274</v>
      </c>
      <c r="D595" s="330" t="s">
        <v>1104</v>
      </c>
      <c r="E595" s="330" t="s">
        <v>711</v>
      </c>
      <c r="F595" s="330" t="s">
        <v>2980</v>
      </c>
      <c r="G595" s="330" t="s">
        <v>3275</v>
      </c>
      <c r="H595" s="330" t="s">
        <v>3276</v>
      </c>
      <c r="I595" s="330" t="s">
        <v>3277</v>
      </c>
      <c r="J595" s="330" t="s">
        <v>3234</v>
      </c>
      <c r="K595" s="330" t="s">
        <v>614</v>
      </c>
      <c r="L595" s="330" t="s">
        <v>643</v>
      </c>
      <c r="M595" s="330"/>
      <c r="N595" s="47"/>
      <c r="O595" s="47"/>
      <c r="P595" s="72"/>
      <c r="Q595" s="58">
        <f>P595+R595-1</f>
        <v>-1</v>
      </c>
      <c r="R595" s="47"/>
      <c r="S595" s="50"/>
    </row>
    <row r="596" spans="1:19" ht="15" customHeight="1" x14ac:dyDescent="0.4">
      <c r="A596" t="e">
        <f t="shared" si="12"/>
        <v>#REF!</v>
      </c>
      <c r="B596" s="328" t="s">
        <v>3228</v>
      </c>
      <c r="C596" s="319" t="s">
        <v>3278</v>
      </c>
      <c r="D596" s="320" t="s">
        <v>3279</v>
      </c>
      <c r="E596" s="320" t="s">
        <v>3280</v>
      </c>
      <c r="F596" s="320" t="s">
        <v>3281</v>
      </c>
      <c r="G596" s="320" t="s">
        <v>3282</v>
      </c>
      <c r="H596" s="320" t="s">
        <v>3283</v>
      </c>
      <c r="I596" s="320" t="s">
        <v>3284</v>
      </c>
      <c r="J596" s="320" t="s">
        <v>3234</v>
      </c>
      <c r="K596" s="320" t="s">
        <v>614</v>
      </c>
      <c r="L596" s="320" t="s">
        <v>643</v>
      </c>
      <c r="M596" s="320"/>
      <c r="N596" s="47"/>
      <c r="O596" s="47"/>
      <c r="P596" s="47"/>
      <c r="Q596" s="48"/>
      <c r="R596" s="49"/>
      <c r="S596" s="50"/>
    </row>
    <row r="597" spans="1:19" ht="15" customHeight="1" x14ac:dyDescent="0.4">
      <c r="A597" t="e">
        <f t="shared" si="12"/>
        <v>#REF!</v>
      </c>
      <c r="B597" s="328" t="s">
        <v>3228</v>
      </c>
      <c r="C597" s="319" t="s">
        <v>3285</v>
      </c>
      <c r="D597" s="320" t="s">
        <v>3286</v>
      </c>
      <c r="E597" s="320" t="s">
        <v>916</v>
      </c>
      <c r="F597" s="320" t="s">
        <v>3287</v>
      </c>
      <c r="G597" s="320" t="s">
        <v>3288</v>
      </c>
      <c r="H597" s="320" t="s">
        <v>3289</v>
      </c>
      <c r="I597" s="320" t="s">
        <v>3290</v>
      </c>
      <c r="J597" s="320" t="s">
        <v>3234</v>
      </c>
      <c r="K597" s="320" t="s">
        <v>614</v>
      </c>
      <c r="L597" s="320" t="s">
        <v>643</v>
      </c>
      <c r="M597" s="320"/>
      <c r="N597" s="47"/>
      <c r="O597" s="47"/>
      <c r="P597" s="47"/>
      <c r="Q597" s="48"/>
      <c r="R597" s="49"/>
      <c r="S597" s="50"/>
    </row>
    <row r="598" spans="1:19" ht="15" customHeight="1" x14ac:dyDescent="0.4">
      <c r="A598" t="e">
        <f t="shared" si="12"/>
        <v>#REF!</v>
      </c>
      <c r="B598" s="328" t="s">
        <v>3228</v>
      </c>
      <c r="C598" s="331" t="s">
        <v>3291</v>
      </c>
      <c r="D598" s="330" t="s">
        <v>3292</v>
      </c>
      <c r="E598" s="330" t="s">
        <v>687</v>
      </c>
      <c r="F598" s="330" t="s">
        <v>3293</v>
      </c>
      <c r="G598" s="330" t="s">
        <v>3294</v>
      </c>
      <c r="H598" s="332" t="s">
        <v>3295</v>
      </c>
      <c r="I598" s="330" t="s">
        <v>3296</v>
      </c>
      <c r="J598" s="330" t="s">
        <v>3234</v>
      </c>
      <c r="K598" s="320" t="s">
        <v>614</v>
      </c>
      <c r="L598" s="330" t="s">
        <v>643</v>
      </c>
      <c r="M598" s="330"/>
      <c r="N598" s="47"/>
      <c r="O598" s="47"/>
      <c r="P598" s="72"/>
      <c r="Q598" s="96"/>
      <c r="R598" s="47"/>
      <c r="S598" s="113"/>
    </row>
    <row r="599" spans="1:19" ht="15" customHeight="1" x14ac:dyDescent="0.4">
      <c r="A599" t="e">
        <f t="shared" si="12"/>
        <v>#REF!</v>
      </c>
      <c r="B599" s="328" t="s">
        <v>3228</v>
      </c>
      <c r="C599" s="319" t="s">
        <v>3297</v>
      </c>
      <c r="D599" s="320" t="s">
        <v>3194</v>
      </c>
      <c r="E599" s="320" t="s">
        <v>716</v>
      </c>
      <c r="F599" s="320" t="s">
        <v>982</v>
      </c>
      <c r="G599" s="320" t="s">
        <v>3298</v>
      </c>
      <c r="H599" s="320" t="s">
        <v>3299</v>
      </c>
      <c r="I599" s="320" t="s">
        <v>3300</v>
      </c>
      <c r="J599" s="320" t="s">
        <v>3234</v>
      </c>
      <c r="K599" s="320" t="s">
        <v>614</v>
      </c>
      <c r="L599" s="320" t="s">
        <v>643</v>
      </c>
      <c r="M599" s="320"/>
      <c r="N599" s="47"/>
      <c r="O599" s="47"/>
      <c r="P599" s="47"/>
      <c r="Q599" s="48"/>
      <c r="R599" s="49"/>
      <c r="S599" s="50"/>
    </row>
    <row r="600" spans="1:19" ht="15" customHeight="1" x14ac:dyDescent="0.4">
      <c r="A600" t="e">
        <f t="shared" si="12"/>
        <v>#REF!</v>
      </c>
      <c r="B600" s="328" t="s">
        <v>3228</v>
      </c>
      <c r="C600" s="319" t="s">
        <v>3301</v>
      </c>
      <c r="D600" s="320" t="s">
        <v>1888</v>
      </c>
      <c r="E600" s="320" t="s">
        <v>1109</v>
      </c>
      <c r="F600" s="320" t="s">
        <v>3302</v>
      </c>
      <c r="G600" s="320" t="s">
        <v>3303</v>
      </c>
      <c r="H600" s="320" t="s">
        <v>3304</v>
      </c>
      <c r="I600" s="320" t="s">
        <v>3305</v>
      </c>
      <c r="J600" s="320" t="s">
        <v>3234</v>
      </c>
      <c r="K600" s="320" t="s">
        <v>614</v>
      </c>
      <c r="L600" s="320" t="s">
        <v>643</v>
      </c>
      <c r="M600" s="320"/>
      <c r="N600" s="47"/>
      <c r="O600" s="47"/>
      <c r="P600" s="47"/>
      <c r="Q600" s="48"/>
      <c r="R600" s="49"/>
      <c r="S600" s="50"/>
    </row>
    <row r="601" spans="1:19" ht="15" customHeight="1" x14ac:dyDescent="0.4">
      <c r="A601" t="e">
        <f t="shared" si="12"/>
        <v>#REF!</v>
      </c>
      <c r="B601" s="328" t="s">
        <v>3228</v>
      </c>
      <c r="C601" s="319" t="s">
        <v>3306</v>
      </c>
      <c r="D601" s="320" t="s">
        <v>952</v>
      </c>
      <c r="E601" s="320" t="s">
        <v>2229</v>
      </c>
      <c r="F601" s="320" t="s">
        <v>3307</v>
      </c>
      <c r="G601" s="320" t="s">
        <v>3308</v>
      </c>
      <c r="H601" s="333" t="s">
        <v>3309</v>
      </c>
      <c r="I601" s="330" t="s">
        <v>3310</v>
      </c>
      <c r="J601" s="320" t="s">
        <v>3234</v>
      </c>
      <c r="K601" s="320" t="s">
        <v>614</v>
      </c>
      <c r="L601" s="320" t="s">
        <v>643</v>
      </c>
      <c r="M601" s="320"/>
      <c r="N601" s="47"/>
      <c r="O601" s="47"/>
      <c r="P601" s="47"/>
      <c r="Q601" s="48"/>
      <c r="R601" s="49"/>
      <c r="S601" s="50"/>
    </row>
    <row r="602" spans="1:19" ht="15.75" customHeight="1" x14ac:dyDescent="0.4">
      <c r="A602" t="e">
        <f t="shared" si="12"/>
        <v>#REF!</v>
      </c>
      <c r="B602" s="328" t="s">
        <v>3228</v>
      </c>
      <c r="C602" s="319" t="s">
        <v>3311</v>
      </c>
      <c r="D602" s="320" t="s">
        <v>1375</v>
      </c>
      <c r="E602" s="320" t="s">
        <v>3312</v>
      </c>
      <c r="F602" s="320" t="s">
        <v>3313</v>
      </c>
      <c r="G602" s="320" t="s">
        <v>3314</v>
      </c>
      <c r="H602" s="334" t="s">
        <v>3315</v>
      </c>
      <c r="I602" s="320" t="s">
        <v>3316</v>
      </c>
      <c r="J602" s="320" t="s">
        <v>3234</v>
      </c>
      <c r="K602" s="320" t="s">
        <v>614</v>
      </c>
      <c r="L602" s="320" t="s">
        <v>643</v>
      </c>
      <c r="M602" s="320"/>
      <c r="N602" s="47"/>
      <c r="O602" s="47"/>
      <c r="P602" s="47"/>
      <c r="Q602" s="48"/>
      <c r="R602" s="49"/>
      <c r="S602" s="50"/>
    </row>
    <row r="603" spans="1:19" ht="15" customHeight="1" x14ac:dyDescent="0.4">
      <c r="A603" t="e">
        <f t="shared" si="12"/>
        <v>#REF!</v>
      </c>
      <c r="B603" s="328" t="s">
        <v>3228</v>
      </c>
      <c r="C603" s="319" t="s">
        <v>3317</v>
      </c>
      <c r="D603" s="320" t="s">
        <v>1375</v>
      </c>
      <c r="E603" s="320" t="s">
        <v>995</v>
      </c>
      <c r="F603" s="320" t="s">
        <v>3318</v>
      </c>
      <c r="G603" s="320" t="s">
        <v>3319</v>
      </c>
      <c r="H603" s="329" t="s">
        <v>3320</v>
      </c>
      <c r="I603" s="320" t="s">
        <v>3321</v>
      </c>
      <c r="J603" s="320" t="s">
        <v>3234</v>
      </c>
      <c r="K603" s="320" t="s">
        <v>614</v>
      </c>
      <c r="L603" s="320" t="s">
        <v>643</v>
      </c>
      <c r="M603" s="320"/>
      <c r="N603" s="47"/>
      <c r="O603" s="47"/>
      <c r="P603" s="47"/>
      <c r="Q603" s="48"/>
      <c r="R603" s="49"/>
      <c r="S603" s="50"/>
    </row>
    <row r="604" spans="1:19" ht="15" customHeight="1" x14ac:dyDescent="0.4">
      <c r="A604" t="e">
        <f t="shared" si="12"/>
        <v>#REF!</v>
      </c>
      <c r="B604" s="328" t="s">
        <v>3228</v>
      </c>
      <c r="C604" s="331" t="s">
        <v>3322</v>
      </c>
      <c r="D604" s="330" t="s">
        <v>3323</v>
      </c>
      <c r="E604" s="330" t="s">
        <v>1273</v>
      </c>
      <c r="F604" s="330" t="s">
        <v>3324</v>
      </c>
      <c r="G604" s="330" t="s">
        <v>3325</v>
      </c>
      <c r="H604" s="335" t="s">
        <v>3326</v>
      </c>
      <c r="I604" s="330" t="s">
        <v>3327</v>
      </c>
      <c r="J604" s="330" t="s">
        <v>3234</v>
      </c>
      <c r="K604" s="320" t="s">
        <v>614</v>
      </c>
      <c r="L604" s="330" t="s">
        <v>643</v>
      </c>
      <c r="M604" s="330"/>
      <c r="N604" s="48"/>
      <c r="O604" s="47"/>
      <c r="P604" s="72"/>
      <c r="Q604" s="58">
        <f>P604+R604-1</f>
        <v>-1</v>
      </c>
      <c r="R604" s="47"/>
      <c r="S604" s="50"/>
    </row>
    <row r="605" spans="1:19" ht="15" customHeight="1" x14ac:dyDescent="0.4">
      <c r="A605" t="e">
        <f t="shared" si="12"/>
        <v>#REF!</v>
      </c>
      <c r="B605" s="328" t="s">
        <v>3228</v>
      </c>
      <c r="C605" s="319" t="s">
        <v>3328</v>
      </c>
      <c r="D605" s="320" t="s">
        <v>2928</v>
      </c>
      <c r="E605" s="320" t="s">
        <v>1279</v>
      </c>
      <c r="F605" s="320" t="s">
        <v>3329</v>
      </c>
      <c r="G605" s="320" t="s">
        <v>3330</v>
      </c>
      <c r="H605" s="329" t="s">
        <v>3331</v>
      </c>
      <c r="I605" s="330" t="s">
        <v>3332</v>
      </c>
      <c r="J605" s="330" t="s">
        <v>3234</v>
      </c>
      <c r="K605" s="320" t="s">
        <v>614</v>
      </c>
      <c r="L605" s="330" t="s">
        <v>643</v>
      </c>
      <c r="M605" s="330"/>
      <c r="N605" s="47"/>
      <c r="O605" s="47"/>
      <c r="P605" s="78"/>
      <c r="Q605" s="96"/>
      <c r="R605" s="67"/>
      <c r="S605" s="50"/>
    </row>
    <row r="606" spans="1:19" ht="15" customHeight="1" x14ac:dyDescent="0.4">
      <c r="A606" t="e">
        <f t="shared" si="12"/>
        <v>#REF!</v>
      </c>
      <c r="B606" s="328" t="s">
        <v>3228</v>
      </c>
      <c r="C606" s="319" t="s">
        <v>3333</v>
      </c>
      <c r="D606" s="320" t="s">
        <v>716</v>
      </c>
      <c r="E606" s="320" t="s">
        <v>678</v>
      </c>
      <c r="F606" s="320" t="s">
        <v>3334</v>
      </c>
      <c r="G606" s="320" t="s">
        <v>3335</v>
      </c>
      <c r="H606" s="320" t="s">
        <v>3336</v>
      </c>
      <c r="I606" s="320" t="s">
        <v>3337</v>
      </c>
      <c r="J606" s="320" t="s">
        <v>3234</v>
      </c>
      <c r="K606" s="320" t="s">
        <v>614</v>
      </c>
      <c r="L606" s="320" t="s">
        <v>643</v>
      </c>
      <c r="M606" s="320"/>
      <c r="N606" s="47"/>
      <c r="O606" s="47"/>
      <c r="P606" s="47"/>
      <c r="Q606" s="48"/>
      <c r="R606" s="49"/>
      <c r="S606" s="50"/>
    </row>
    <row r="607" spans="1:19" ht="15" customHeight="1" x14ac:dyDescent="0.4">
      <c r="A607" t="e">
        <f t="shared" si="12"/>
        <v>#REF!</v>
      </c>
      <c r="B607" s="328" t="s">
        <v>3228</v>
      </c>
      <c r="C607" s="331" t="s">
        <v>3338</v>
      </c>
      <c r="D607" s="330" t="s">
        <v>3339</v>
      </c>
      <c r="E607" s="330" t="s">
        <v>716</v>
      </c>
      <c r="F607" s="330" t="s">
        <v>3340</v>
      </c>
      <c r="G607" s="330" t="s">
        <v>3341</v>
      </c>
      <c r="H607" s="336" t="s">
        <v>3342</v>
      </c>
      <c r="I607" s="330" t="s">
        <v>3343</v>
      </c>
      <c r="J607" s="330" t="s">
        <v>3234</v>
      </c>
      <c r="K607" s="320" t="s">
        <v>614</v>
      </c>
      <c r="L607" s="330" t="s">
        <v>643</v>
      </c>
      <c r="M607" s="330"/>
      <c r="N607" s="47"/>
      <c r="O607" s="47"/>
      <c r="P607" s="72"/>
      <c r="Q607" s="58"/>
      <c r="R607" s="47"/>
      <c r="S607" s="113"/>
    </row>
    <row r="608" spans="1:19" ht="15" customHeight="1" x14ac:dyDescent="0.4">
      <c r="A608" t="e">
        <f t="shared" si="12"/>
        <v>#REF!</v>
      </c>
      <c r="B608" s="328" t="s">
        <v>3228</v>
      </c>
      <c r="C608" s="331" t="s">
        <v>3344</v>
      </c>
      <c r="D608" s="330" t="s">
        <v>876</v>
      </c>
      <c r="E608" s="330" t="s">
        <v>716</v>
      </c>
      <c r="F608" s="330" t="s">
        <v>3345</v>
      </c>
      <c r="G608" s="330" t="s">
        <v>3346</v>
      </c>
      <c r="H608" s="330" t="s">
        <v>3347</v>
      </c>
      <c r="I608" s="330" t="s">
        <v>3348</v>
      </c>
      <c r="J608" s="330" t="s">
        <v>3234</v>
      </c>
      <c r="K608" s="320" t="s">
        <v>614</v>
      </c>
      <c r="L608" s="330" t="s">
        <v>643</v>
      </c>
      <c r="M608" s="330"/>
      <c r="N608" s="47"/>
      <c r="O608" s="47"/>
      <c r="P608" s="72"/>
      <c r="Q608" s="58"/>
      <c r="R608" s="47"/>
      <c r="S608" s="50"/>
    </row>
    <row r="609" spans="1:20" ht="15" customHeight="1" x14ac:dyDescent="0.4">
      <c r="A609" t="e">
        <f t="shared" si="12"/>
        <v>#REF!</v>
      </c>
      <c r="B609" s="328" t="s">
        <v>3228</v>
      </c>
      <c r="C609" s="319" t="s">
        <v>3349</v>
      </c>
      <c r="D609" s="320" t="s">
        <v>2726</v>
      </c>
      <c r="E609" s="320" t="s">
        <v>1000</v>
      </c>
      <c r="F609" s="320" t="s">
        <v>3350</v>
      </c>
      <c r="G609" s="320" t="s">
        <v>3351</v>
      </c>
      <c r="H609" s="320" t="s">
        <v>3352</v>
      </c>
      <c r="I609" s="320" t="s">
        <v>3353</v>
      </c>
      <c r="J609" s="320" t="s">
        <v>3234</v>
      </c>
      <c r="K609" s="320" t="s">
        <v>614</v>
      </c>
      <c r="L609" s="320" t="s">
        <v>643</v>
      </c>
      <c r="M609" s="320"/>
      <c r="N609" s="47"/>
      <c r="O609" s="47"/>
      <c r="P609" s="47"/>
      <c r="Q609" s="48"/>
      <c r="R609" s="49"/>
      <c r="S609" s="50"/>
    </row>
    <row r="610" spans="1:20" ht="15" customHeight="1" x14ac:dyDescent="0.4">
      <c r="A610" t="e">
        <f t="shared" si="12"/>
        <v>#REF!</v>
      </c>
      <c r="B610" s="328" t="s">
        <v>3228</v>
      </c>
      <c r="C610" s="319" t="s">
        <v>3354</v>
      </c>
      <c r="D610" s="320" t="s">
        <v>795</v>
      </c>
      <c r="E610" s="320" t="s">
        <v>815</v>
      </c>
      <c r="F610" s="320" t="s">
        <v>3355</v>
      </c>
      <c r="G610" s="320" t="s">
        <v>3356</v>
      </c>
      <c r="H610" s="334" t="s">
        <v>3357</v>
      </c>
      <c r="I610" s="320" t="s">
        <v>3296</v>
      </c>
      <c r="J610" s="320" t="s">
        <v>3234</v>
      </c>
      <c r="K610" s="320" t="s">
        <v>614</v>
      </c>
      <c r="L610" s="320" t="s">
        <v>643</v>
      </c>
      <c r="M610" s="320"/>
      <c r="N610" s="47"/>
      <c r="O610" s="47"/>
      <c r="P610" s="72"/>
      <c r="Q610" s="96"/>
      <c r="R610" s="47"/>
      <c r="S610" s="113"/>
    </row>
    <row r="611" spans="1:20" ht="15" customHeight="1" x14ac:dyDescent="0.4">
      <c r="A611" t="e">
        <f t="shared" si="12"/>
        <v>#REF!</v>
      </c>
      <c r="B611" s="328" t="s">
        <v>3228</v>
      </c>
      <c r="C611" s="319" t="s">
        <v>3358</v>
      </c>
      <c r="D611" s="320" t="s">
        <v>3359</v>
      </c>
      <c r="E611" s="320" t="s">
        <v>1888</v>
      </c>
      <c r="F611" s="320" t="s">
        <v>3360</v>
      </c>
      <c r="G611" s="320" t="s">
        <v>3361</v>
      </c>
      <c r="H611" s="320" t="s">
        <v>3362</v>
      </c>
      <c r="I611" s="320" t="s">
        <v>3363</v>
      </c>
      <c r="J611" s="320" t="s">
        <v>3234</v>
      </c>
      <c r="K611" s="320" t="s">
        <v>614</v>
      </c>
      <c r="L611" s="320" t="s">
        <v>643</v>
      </c>
      <c r="M611" s="320"/>
      <c r="N611" s="47"/>
      <c r="O611" s="47"/>
      <c r="P611" s="47"/>
      <c r="Q611" s="48"/>
      <c r="R611" s="49"/>
      <c r="S611" s="50"/>
    </row>
    <row r="612" spans="1:20" ht="15" customHeight="1" x14ac:dyDescent="0.4">
      <c r="A612" t="e">
        <f t="shared" si="12"/>
        <v>#REF!</v>
      </c>
      <c r="B612" s="328" t="s">
        <v>3228</v>
      </c>
      <c r="C612" s="331" t="s">
        <v>3364</v>
      </c>
      <c r="D612" s="330" t="s">
        <v>617</v>
      </c>
      <c r="E612" s="330" t="s">
        <v>1842</v>
      </c>
      <c r="F612" s="330" t="s">
        <v>3365</v>
      </c>
      <c r="G612" s="330" t="s">
        <v>3366</v>
      </c>
      <c r="H612" s="332" t="s">
        <v>3367</v>
      </c>
      <c r="I612" s="330" t="s">
        <v>3368</v>
      </c>
      <c r="J612" s="330" t="s">
        <v>3234</v>
      </c>
      <c r="K612" s="330" t="s">
        <v>614</v>
      </c>
      <c r="L612" s="330" t="s">
        <v>643</v>
      </c>
      <c r="M612" s="330"/>
      <c r="N612" s="47"/>
      <c r="O612" s="47"/>
      <c r="P612" s="47"/>
      <c r="Q612" s="48"/>
      <c r="R612" s="49"/>
      <c r="S612" s="50"/>
    </row>
    <row r="613" spans="1:20" ht="15" customHeight="1" x14ac:dyDescent="0.4">
      <c r="B613" s="328" t="s">
        <v>3228</v>
      </c>
      <c r="C613" s="337"/>
      <c r="D613" s="161"/>
      <c r="E613" s="161"/>
      <c r="F613" s="161"/>
      <c r="G613" s="161"/>
      <c r="H613" s="338"/>
      <c r="I613" s="161" t="s">
        <v>3369</v>
      </c>
      <c r="J613" s="161" t="s">
        <v>3234</v>
      </c>
      <c r="K613" s="161" t="s">
        <v>104</v>
      </c>
      <c r="L613" s="161" t="s">
        <v>643</v>
      </c>
      <c r="M613" s="161" t="s">
        <v>3370</v>
      </c>
      <c r="N613" s="47"/>
      <c r="O613" s="47"/>
      <c r="P613" s="47"/>
      <c r="Q613" s="48"/>
      <c r="R613" s="49"/>
      <c r="S613" s="50"/>
    </row>
    <row r="614" spans="1:20" ht="15" customHeight="1" x14ac:dyDescent="0.4">
      <c r="A614" t="e">
        <f>A612+1</f>
        <v>#REF!</v>
      </c>
      <c r="B614" s="328" t="s">
        <v>3228</v>
      </c>
      <c r="C614" s="337"/>
      <c r="D614" s="161"/>
      <c r="E614" s="161"/>
      <c r="F614" s="161"/>
      <c r="G614" s="161"/>
      <c r="H614" s="339"/>
      <c r="I614" s="161" t="s">
        <v>3371</v>
      </c>
      <c r="J614" s="161" t="s">
        <v>3234</v>
      </c>
      <c r="K614" s="161" t="s">
        <v>104</v>
      </c>
      <c r="L614" s="161" t="s">
        <v>643</v>
      </c>
      <c r="M614" s="161"/>
      <c r="N614" s="47"/>
      <c r="O614" s="47"/>
      <c r="P614" s="47"/>
      <c r="Q614" s="48"/>
      <c r="R614" s="49"/>
      <c r="S614" s="105"/>
    </row>
    <row r="615" spans="1:20" ht="15" customHeight="1" x14ac:dyDescent="0.4">
      <c r="A615" t="e">
        <f t="shared" si="12"/>
        <v>#REF!</v>
      </c>
      <c r="B615" s="340" t="s">
        <v>2909</v>
      </c>
      <c r="C615" s="341" t="s">
        <v>3372</v>
      </c>
      <c r="D615" s="342" t="s">
        <v>617</v>
      </c>
      <c r="E615" s="342" t="s">
        <v>2285</v>
      </c>
      <c r="F615" s="342" t="s">
        <v>3313</v>
      </c>
      <c r="G615" s="342" t="s">
        <v>3373</v>
      </c>
      <c r="H615" s="343" t="s">
        <v>3374</v>
      </c>
      <c r="I615" s="342" t="s">
        <v>3375</v>
      </c>
      <c r="J615" s="344" t="s">
        <v>3234</v>
      </c>
      <c r="K615" s="342" t="s">
        <v>614</v>
      </c>
      <c r="L615" s="345" t="s">
        <v>2911</v>
      </c>
      <c r="M615" s="346"/>
      <c r="N615" s="40"/>
      <c r="O615" s="47"/>
      <c r="P615" s="78">
        <v>46076</v>
      </c>
      <c r="Q615" s="58">
        <f>P615+R615-1</f>
        <v>46142</v>
      </c>
      <c r="R615" s="47">
        <v>67</v>
      </c>
      <c r="S615" s="105"/>
    </row>
    <row r="616" spans="1:20" ht="15" customHeight="1" x14ac:dyDescent="0.4">
      <c r="A616" t="e">
        <f t="shared" si="12"/>
        <v>#REF!</v>
      </c>
      <c r="B616" s="340" t="s">
        <v>2909</v>
      </c>
      <c r="C616" s="347"/>
      <c r="D616" s="348"/>
      <c r="E616" s="348"/>
      <c r="F616" s="348"/>
      <c r="G616" s="348"/>
      <c r="H616" s="349"/>
      <c r="I616" s="348" t="s">
        <v>3376</v>
      </c>
      <c r="J616" s="350" t="s">
        <v>3234</v>
      </c>
      <c r="K616" s="161" t="s">
        <v>104</v>
      </c>
      <c r="L616" s="348" t="s">
        <v>2911</v>
      </c>
      <c r="M616" s="351"/>
      <c r="N616" s="40"/>
      <c r="O616" s="47"/>
      <c r="P616" s="78">
        <v>46023</v>
      </c>
      <c r="Q616" s="58">
        <f>P616+R616-1</f>
        <v>46387</v>
      </c>
      <c r="R616" s="47">
        <v>365</v>
      </c>
      <c r="S616" s="105"/>
    </row>
    <row r="617" spans="1:20" ht="15" customHeight="1" x14ac:dyDescent="0.4">
      <c r="A617" t="e">
        <f t="shared" si="12"/>
        <v>#REF!</v>
      </c>
      <c r="B617" s="352" t="s">
        <v>2909</v>
      </c>
      <c r="C617" s="341" t="s">
        <v>3377</v>
      </c>
      <c r="D617" s="342" t="s">
        <v>1114</v>
      </c>
      <c r="E617" s="342" t="s">
        <v>3378</v>
      </c>
      <c r="F617" s="342" t="s">
        <v>3379</v>
      </c>
      <c r="G617" s="342" t="s">
        <v>3380</v>
      </c>
      <c r="H617" s="343" t="s">
        <v>3381</v>
      </c>
      <c r="I617" s="342" t="s">
        <v>3382</v>
      </c>
      <c r="J617" s="353" t="s">
        <v>3234</v>
      </c>
      <c r="K617" s="342" t="s">
        <v>614</v>
      </c>
      <c r="L617" s="342" t="s">
        <v>2911</v>
      </c>
      <c r="M617" s="354"/>
      <c r="N617" s="40"/>
      <c r="O617" s="47"/>
      <c r="P617" s="78">
        <v>46023</v>
      </c>
      <c r="Q617" s="58">
        <f>P617+R617-1</f>
        <v>46387</v>
      </c>
      <c r="R617" s="47">
        <v>365</v>
      </c>
      <c r="S617" s="105"/>
    </row>
    <row r="618" spans="1:20" ht="15" customHeight="1" thickBot="1" x14ac:dyDescent="0.45">
      <c r="A618" t="e">
        <f t="shared" si="12"/>
        <v>#REF!</v>
      </c>
      <c r="B618" s="355" t="s">
        <v>2909</v>
      </c>
      <c r="C618" s="356" t="s">
        <v>3338</v>
      </c>
      <c r="D618" s="356" t="s">
        <v>3339</v>
      </c>
      <c r="E618" s="356" t="s">
        <v>716</v>
      </c>
      <c r="F618" s="356" t="s">
        <v>3340</v>
      </c>
      <c r="G618" s="357" t="s">
        <v>3341</v>
      </c>
      <c r="H618" s="358" t="s">
        <v>3342</v>
      </c>
      <c r="I618" s="359" t="s">
        <v>3383</v>
      </c>
      <c r="J618" s="360" t="s">
        <v>3234</v>
      </c>
      <c r="K618" s="359" t="s">
        <v>614</v>
      </c>
      <c r="L618" s="359" t="s">
        <v>2911</v>
      </c>
      <c r="M618" s="361"/>
      <c r="N618" s="362"/>
      <c r="O618" s="67"/>
      <c r="P618" s="78">
        <v>46023</v>
      </c>
      <c r="Q618" s="58">
        <f>P618+R618-1</f>
        <v>46387</v>
      </c>
      <c r="R618" s="67">
        <v>365</v>
      </c>
      <c r="S618" s="363"/>
    </row>
    <row r="619" spans="1:20" ht="15" customHeight="1" x14ac:dyDescent="0.4">
      <c r="A619" t="e">
        <f t="shared" si="12"/>
        <v>#REF!</v>
      </c>
      <c r="B619" s="364" t="s">
        <v>2909</v>
      </c>
      <c r="C619" s="307" t="s">
        <v>3384</v>
      </c>
      <c r="D619" s="307" t="s">
        <v>3385</v>
      </c>
      <c r="E619" s="307" t="s">
        <v>3386</v>
      </c>
      <c r="F619" s="307" t="s">
        <v>3387</v>
      </c>
      <c r="G619" s="307" t="s">
        <v>3388</v>
      </c>
      <c r="H619" s="365" t="s">
        <v>3389</v>
      </c>
      <c r="I619" s="306" t="s">
        <v>3343</v>
      </c>
      <c r="J619" s="311" t="s">
        <v>3234</v>
      </c>
      <c r="K619" s="306" t="s">
        <v>614</v>
      </c>
      <c r="L619" s="306" t="s">
        <v>3390</v>
      </c>
      <c r="M619" s="366" t="s">
        <v>3391</v>
      </c>
      <c r="N619" s="367"/>
      <c r="O619" s="67"/>
      <c r="P619" s="78">
        <v>46023</v>
      </c>
      <c r="Q619" s="58">
        <f t="shared" ref="Q619:Q626" si="14">P619+R619-1</f>
        <v>46387</v>
      </c>
      <c r="R619" s="67">
        <v>365</v>
      </c>
      <c r="S619" s="363"/>
    </row>
    <row r="620" spans="1:20" ht="15" customHeight="1" x14ac:dyDescent="0.4">
      <c r="A620" t="e">
        <f t="shared" si="12"/>
        <v>#REF!</v>
      </c>
      <c r="B620" s="364" t="s">
        <v>2909</v>
      </c>
      <c r="C620" s="307" t="s">
        <v>1490</v>
      </c>
      <c r="D620" s="368" t="s">
        <v>1491</v>
      </c>
      <c r="E620" s="307" t="s">
        <v>1492</v>
      </c>
      <c r="F620" s="307" t="s">
        <v>1493</v>
      </c>
      <c r="G620" s="307" t="s">
        <v>1494</v>
      </c>
      <c r="H620" s="365" t="s">
        <v>1495</v>
      </c>
      <c r="I620" s="306" t="s">
        <v>3273</v>
      </c>
      <c r="J620" s="311" t="s">
        <v>3234</v>
      </c>
      <c r="K620" s="306" t="s">
        <v>614</v>
      </c>
      <c r="L620" s="306" t="s">
        <v>643</v>
      </c>
      <c r="M620" s="366" t="s">
        <v>3392</v>
      </c>
      <c r="N620" s="367"/>
      <c r="O620" s="67"/>
      <c r="P620" s="78">
        <v>46147</v>
      </c>
      <c r="Q620" s="58">
        <f t="shared" si="14"/>
        <v>46203</v>
      </c>
      <c r="R620" s="67">
        <v>57</v>
      </c>
      <c r="S620" s="369"/>
    </row>
    <row r="621" spans="1:20" s="24" customFormat="1" x14ac:dyDescent="0.4">
      <c r="A621" t="e">
        <f t="shared" si="12"/>
        <v>#REF!</v>
      </c>
      <c r="B621" s="370" t="s">
        <v>605</v>
      </c>
      <c r="C621" s="371" t="s">
        <v>3393</v>
      </c>
      <c r="D621" s="372" t="s">
        <v>1801</v>
      </c>
      <c r="E621" s="373" t="s">
        <v>687</v>
      </c>
      <c r="F621" s="373" t="s">
        <v>3394</v>
      </c>
      <c r="G621" s="373" t="s">
        <v>3395</v>
      </c>
      <c r="H621" s="374" t="s">
        <v>3396</v>
      </c>
      <c r="I621" s="373" t="s">
        <v>861</v>
      </c>
      <c r="J621" s="373" t="s">
        <v>676</v>
      </c>
      <c r="K621" s="375" t="s">
        <v>614</v>
      </c>
      <c r="L621" s="373" t="s">
        <v>3397</v>
      </c>
      <c r="M621" s="376" t="s">
        <v>3398</v>
      </c>
      <c r="N621" s="47"/>
      <c r="O621" s="47"/>
      <c r="P621" s="72">
        <v>46023</v>
      </c>
      <c r="Q621" s="58">
        <f t="shared" si="14"/>
        <v>46387</v>
      </c>
      <c r="R621" s="47">
        <v>365</v>
      </c>
      <c r="S621" s="49"/>
      <c r="T621"/>
    </row>
    <row r="622" spans="1:20" s="24" customFormat="1" x14ac:dyDescent="0.4">
      <c r="A622" t="e">
        <f t="shared" ref="A622:A640" si="15">A621+1</f>
        <v>#REF!</v>
      </c>
      <c r="B622" s="370" t="s">
        <v>605</v>
      </c>
      <c r="C622" s="377" t="s">
        <v>2697</v>
      </c>
      <c r="D622" s="378" t="s">
        <v>1065</v>
      </c>
      <c r="E622" s="378" t="s">
        <v>742</v>
      </c>
      <c r="F622" s="379" t="s">
        <v>2698</v>
      </c>
      <c r="G622" s="379" t="s">
        <v>2699</v>
      </c>
      <c r="H622" s="380" t="s">
        <v>2700</v>
      </c>
      <c r="I622" s="373" t="s">
        <v>1032</v>
      </c>
      <c r="J622" s="373" t="s">
        <v>1069</v>
      </c>
      <c r="K622" s="375" t="s">
        <v>614</v>
      </c>
      <c r="L622" s="373" t="s">
        <v>3399</v>
      </c>
      <c r="M622" s="376" t="s">
        <v>3400</v>
      </c>
      <c r="N622" s="47"/>
      <c r="O622" s="47"/>
      <c r="P622" s="72">
        <v>46023</v>
      </c>
      <c r="Q622" s="58">
        <f t="shared" si="14"/>
        <v>46387</v>
      </c>
      <c r="R622" s="47">
        <v>365</v>
      </c>
      <c r="S622" s="49"/>
      <c r="T622"/>
    </row>
    <row r="623" spans="1:20" s="24" customFormat="1" x14ac:dyDescent="0.4">
      <c r="A623" t="e">
        <f t="shared" si="15"/>
        <v>#REF!</v>
      </c>
      <c r="B623" s="370" t="s">
        <v>605</v>
      </c>
      <c r="C623" s="371" t="s">
        <v>2303</v>
      </c>
      <c r="D623" s="373" t="s">
        <v>2304</v>
      </c>
      <c r="E623" s="373" t="s">
        <v>716</v>
      </c>
      <c r="F623" s="373" t="s">
        <v>2305</v>
      </c>
      <c r="G623" s="373" t="s">
        <v>2306</v>
      </c>
      <c r="H623" s="381" t="s">
        <v>3401</v>
      </c>
      <c r="I623" s="378" t="s">
        <v>812</v>
      </c>
      <c r="J623" s="378" t="s">
        <v>623</v>
      </c>
      <c r="K623" s="373" t="s">
        <v>614</v>
      </c>
      <c r="L623" s="373" t="s">
        <v>3399</v>
      </c>
      <c r="M623" s="376" t="s">
        <v>3402</v>
      </c>
      <c r="N623" s="47"/>
      <c r="O623" s="47"/>
      <c r="P623" s="72">
        <v>46023</v>
      </c>
      <c r="Q623" s="58">
        <f t="shared" si="14"/>
        <v>46387</v>
      </c>
      <c r="R623" s="47">
        <v>365</v>
      </c>
      <c r="S623" s="49"/>
      <c r="T623"/>
    </row>
    <row r="624" spans="1:20" s="24" customFormat="1" x14ac:dyDescent="0.4">
      <c r="A624" t="e">
        <f t="shared" si="15"/>
        <v>#REF!</v>
      </c>
      <c r="B624" s="370" t="s">
        <v>605</v>
      </c>
      <c r="C624" s="371" t="s">
        <v>3403</v>
      </c>
      <c r="D624" s="373" t="s">
        <v>863</v>
      </c>
      <c r="E624" s="373" t="s">
        <v>1147</v>
      </c>
      <c r="F624" s="373" t="s">
        <v>3404</v>
      </c>
      <c r="G624" s="373" t="s">
        <v>2897</v>
      </c>
      <c r="H624" s="374" t="s">
        <v>2898</v>
      </c>
      <c r="I624" s="378" t="s">
        <v>812</v>
      </c>
      <c r="J624" s="373" t="s">
        <v>650</v>
      </c>
      <c r="K624" s="375" t="s">
        <v>614</v>
      </c>
      <c r="L624" s="373" t="s">
        <v>3397</v>
      </c>
      <c r="M624" s="376" t="s">
        <v>3405</v>
      </c>
      <c r="N624" s="47"/>
      <c r="O624" s="47"/>
      <c r="P624" s="72">
        <v>46023</v>
      </c>
      <c r="Q624" s="58">
        <f t="shared" si="14"/>
        <v>46387</v>
      </c>
      <c r="R624" s="47">
        <v>365</v>
      </c>
      <c r="S624" s="49"/>
      <c r="T624"/>
    </row>
    <row r="625" spans="1:20" s="24" customFormat="1" x14ac:dyDescent="0.4">
      <c r="A625" t="e">
        <f t="shared" si="15"/>
        <v>#REF!</v>
      </c>
      <c r="B625" s="370" t="s">
        <v>605</v>
      </c>
      <c r="C625" s="371" t="s">
        <v>3406</v>
      </c>
      <c r="D625" s="373" t="s">
        <v>3407</v>
      </c>
      <c r="E625" s="373" t="s">
        <v>3407</v>
      </c>
      <c r="F625" s="373" t="s">
        <v>3408</v>
      </c>
      <c r="G625" s="373" t="s">
        <v>2900</v>
      </c>
      <c r="H625" s="374" t="s">
        <v>2901</v>
      </c>
      <c r="I625" s="373" t="s">
        <v>622</v>
      </c>
      <c r="J625" s="379" t="s">
        <v>704</v>
      </c>
      <c r="K625" s="373" t="s">
        <v>614</v>
      </c>
      <c r="L625" s="373" t="s">
        <v>3399</v>
      </c>
      <c r="M625" s="376" t="s">
        <v>3409</v>
      </c>
      <c r="N625" s="47"/>
      <c r="O625" s="47"/>
      <c r="P625" s="72">
        <v>46023</v>
      </c>
      <c r="Q625" s="58">
        <f t="shared" si="14"/>
        <v>46387</v>
      </c>
      <c r="R625" s="47">
        <v>365</v>
      </c>
      <c r="S625" s="49"/>
      <c r="T625"/>
    </row>
    <row r="626" spans="1:20" s="24" customFormat="1" x14ac:dyDescent="0.4">
      <c r="A626" t="e">
        <f t="shared" si="15"/>
        <v>#REF!</v>
      </c>
      <c r="B626" s="370" t="s">
        <v>605</v>
      </c>
      <c r="C626" s="371" t="s">
        <v>3410</v>
      </c>
      <c r="D626" s="373" t="s">
        <v>645</v>
      </c>
      <c r="E626" s="373" t="s">
        <v>832</v>
      </c>
      <c r="F626" s="373" t="s">
        <v>3411</v>
      </c>
      <c r="G626" s="373" t="s">
        <v>3412</v>
      </c>
      <c r="H626" s="374" t="s">
        <v>3413</v>
      </c>
      <c r="I626" s="373" t="s">
        <v>861</v>
      </c>
      <c r="J626" s="373" t="s">
        <v>650</v>
      </c>
      <c r="K626" s="375" t="s">
        <v>614</v>
      </c>
      <c r="L626" s="373" t="s">
        <v>3397</v>
      </c>
      <c r="M626" s="376" t="s">
        <v>3414</v>
      </c>
      <c r="N626" s="47"/>
      <c r="O626" s="47"/>
      <c r="P626" s="72">
        <v>46023</v>
      </c>
      <c r="Q626" s="58">
        <f t="shared" si="14"/>
        <v>46387</v>
      </c>
      <c r="R626" s="47">
        <v>365</v>
      </c>
      <c r="S626" s="49"/>
      <c r="T626"/>
    </row>
    <row r="627" spans="1:20" s="24" customFormat="1" x14ac:dyDescent="0.4">
      <c r="A627" t="e">
        <f t="shared" si="15"/>
        <v>#REF!</v>
      </c>
      <c r="B627" s="370" t="s">
        <v>605</v>
      </c>
      <c r="C627" s="371" t="s">
        <v>3415</v>
      </c>
      <c r="D627" s="373" t="s">
        <v>832</v>
      </c>
      <c r="E627" s="373" t="s">
        <v>686</v>
      </c>
      <c r="F627" s="373" t="s">
        <v>3416</v>
      </c>
      <c r="G627" s="373" t="s">
        <v>3417</v>
      </c>
      <c r="H627" s="374" t="s">
        <v>3418</v>
      </c>
      <c r="I627" s="373" t="s">
        <v>774</v>
      </c>
      <c r="J627" s="373" t="s">
        <v>825</v>
      </c>
      <c r="K627" s="379" t="s">
        <v>614</v>
      </c>
      <c r="L627" s="373" t="s">
        <v>3419</v>
      </c>
      <c r="M627" s="376" t="s">
        <v>3420</v>
      </c>
      <c r="N627" s="47"/>
      <c r="O627" s="47"/>
      <c r="P627" s="72">
        <v>46023</v>
      </c>
      <c r="Q627" s="58">
        <f>P627+R627-1</f>
        <v>46332</v>
      </c>
      <c r="R627" s="47">
        <v>310</v>
      </c>
      <c r="S627" s="49"/>
      <c r="T627"/>
    </row>
    <row r="628" spans="1:20" s="24" customFormat="1" x14ac:dyDescent="0.4">
      <c r="A628" t="e">
        <f t="shared" si="15"/>
        <v>#REF!</v>
      </c>
      <c r="B628" s="370" t="s">
        <v>605</v>
      </c>
      <c r="C628" s="371" t="s">
        <v>3421</v>
      </c>
      <c r="D628" s="373" t="s">
        <v>1582</v>
      </c>
      <c r="E628" s="373" t="s">
        <v>742</v>
      </c>
      <c r="F628" s="373" t="s">
        <v>3422</v>
      </c>
      <c r="G628" s="373" t="s">
        <v>3423</v>
      </c>
      <c r="H628" s="382" t="s">
        <v>3424</v>
      </c>
      <c r="I628" s="373" t="s">
        <v>734</v>
      </c>
      <c r="J628" s="373" t="s">
        <v>1069</v>
      </c>
      <c r="K628" s="375" t="s">
        <v>614</v>
      </c>
      <c r="L628" s="373" t="s">
        <v>3425</v>
      </c>
      <c r="M628" s="376" t="s">
        <v>3426</v>
      </c>
      <c r="N628" s="47"/>
      <c r="O628" s="47"/>
      <c r="P628" s="72">
        <v>46048</v>
      </c>
      <c r="Q628" s="58">
        <f t="shared" ref="Q628:Q674" si="16">P628+R628-1</f>
        <v>46125</v>
      </c>
      <c r="R628" s="47">
        <v>78</v>
      </c>
      <c r="S628" s="49"/>
      <c r="T628"/>
    </row>
    <row r="629" spans="1:20" s="24" customFormat="1" x14ac:dyDescent="0.4">
      <c r="A629" t="e">
        <f>#REF!+1</f>
        <v>#REF!</v>
      </c>
      <c r="B629" s="370" t="s">
        <v>605</v>
      </c>
      <c r="C629" s="371" t="s">
        <v>3427</v>
      </c>
      <c r="D629" s="373" t="s">
        <v>1375</v>
      </c>
      <c r="E629" s="373" t="s">
        <v>747</v>
      </c>
      <c r="F629" s="373" t="s">
        <v>3428</v>
      </c>
      <c r="G629" s="373" t="s">
        <v>3429</v>
      </c>
      <c r="H629" s="374" t="s">
        <v>3430</v>
      </c>
      <c r="I629" s="373" t="s">
        <v>734</v>
      </c>
      <c r="J629" s="373" t="s">
        <v>1033</v>
      </c>
      <c r="K629" s="375" t="s">
        <v>614</v>
      </c>
      <c r="L629" s="373" t="s">
        <v>3397</v>
      </c>
      <c r="M629" s="376" t="s">
        <v>3431</v>
      </c>
      <c r="N629" s="47"/>
      <c r="O629" s="47"/>
      <c r="P629" s="72">
        <v>46114</v>
      </c>
      <c r="Q629" s="58">
        <f t="shared" si="16"/>
        <v>46197</v>
      </c>
      <c r="R629" s="47">
        <v>84</v>
      </c>
      <c r="S629" s="49"/>
      <c r="T629"/>
    </row>
    <row r="630" spans="1:20" s="24" customFormat="1" x14ac:dyDescent="0.4">
      <c r="A630" t="e">
        <f t="shared" si="15"/>
        <v>#REF!</v>
      </c>
      <c r="B630" s="370" t="s">
        <v>605</v>
      </c>
      <c r="C630" s="371" t="s">
        <v>2561</v>
      </c>
      <c r="D630" s="373" t="s">
        <v>1381</v>
      </c>
      <c r="E630" s="373" t="s">
        <v>2562</v>
      </c>
      <c r="F630" s="373" t="s">
        <v>2563</v>
      </c>
      <c r="G630" s="373" t="s">
        <v>2564</v>
      </c>
      <c r="H630" s="374" t="s">
        <v>2565</v>
      </c>
      <c r="I630" s="373" t="s">
        <v>641</v>
      </c>
      <c r="J630" s="373" t="s">
        <v>1033</v>
      </c>
      <c r="K630" s="379" t="s">
        <v>614</v>
      </c>
      <c r="L630" s="373" t="s">
        <v>3399</v>
      </c>
      <c r="M630" s="376" t="s">
        <v>3432</v>
      </c>
      <c r="N630" s="47"/>
      <c r="O630" s="47"/>
      <c r="P630" s="72">
        <v>46114</v>
      </c>
      <c r="Q630" s="58">
        <f t="shared" si="16"/>
        <v>46197</v>
      </c>
      <c r="R630" s="47">
        <v>84</v>
      </c>
      <c r="S630" s="49"/>
      <c r="T630"/>
    </row>
    <row r="631" spans="1:20" s="24" customFormat="1" x14ac:dyDescent="0.4">
      <c r="A631" t="e">
        <f>#REF!+1</f>
        <v>#REF!</v>
      </c>
      <c r="B631" s="370" t="s">
        <v>605</v>
      </c>
      <c r="C631" s="371" t="s">
        <v>3433</v>
      </c>
      <c r="D631" s="373" t="s">
        <v>3434</v>
      </c>
      <c r="E631" s="373" t="s">
        <v>1017</v>
      </c>
      <c r="F631" s="373" t="s">
        <v>3435</v>
      </c>
      <c r="G631" s="373" t="s">
        <v>3436</v>
      </c>
      <c r="H631" s="374" t="s">
        <v>3437</v>
      </c>
      <c r="I631" s="378" t="s">
        <v>630</v>
      </c>
      <c r="J631" s="373" t="s">
        <v>613</v>
      </c>
      <c r="K631" s="375" t="s">
        <v>614</v>
      </c>
      <c r="L631" s="373" t="s">
        <v>3397</v>
      </c>
      <c r="M631" s="376" t="s">
        <v>3438</v>
      </c>
      <c r="N631" s="47"/>
      <c r="O631" s="47"/>
      <c r="P631" s="72">
        <v>46023</v>
      </c>
      <c r="Q631" s="58">
        <f t="shared" si="16"/>
        <v>46387</v>
      </c>
      <c r="R631" s="47">
        <v>365</v>
      </c>
      <c r="S631" s="49"/>
      <c r="T631"/>
    </row>
    <row r="632" spans="1:20" s="24" customFormat="1" x14ac:dyDescent="0.4">
      <c r="A632" t="e">
        <f t="shared" si="15"/>
        <v>#REF!</v>
      </c>
      <c r="B632" s="370" t="s">
        <v>605</v>
      </c>
      <c r="C632" s="371" t="s">
        <v>1879</v>
      </c>
      <c r="D632" s="373" t="s">
        <v>1006</v>
      </c>
      <c r="E632" s="373" t="s">
        <v>808</v>
      </c>
      <c r="F632" s="373" t="s">
        <v>1880</v>
      </c>
      <c r="G632" s="373" t="s">
        <v>1881</v>
      </c>
      <c r="H632" s="374" t="s">
        <v>1882</v>
      </c>
      <c r="I632" s="373" t="s">
        <v>727</v>
      </c>
      <c r="J632" s="373" t="s">
        <v>1033</v>
      </c>
      <c r="K632" s="375" t="s">
        <v>614</v>
      </c>
      <c r="L632" s="373" t="s">
        <v>3425</v>
      </c>
      <c r="M632" s="376" t="s">
        <v>3439</v>
      </c>
      <c r="N632" s="47"/>
      <c r="O632" s="47"/>
      <c r="P632" s="72">
        <v>46130</v>
      </c>
      <c r="Q632" s="58">
        <f t="shared" si="16"/>
        <v>46203</v>
      </c>
      <c r="R632" s="47">
        <v>74</v>
      </c>
      <c r="S632" s="49"/>
      <c r="T632"/>
    </row>
    <row r="633" spans="1:20" s="24" customFormat="1" x14ac:dyDescent="0.4">
      <c r="A633" t="e">
        <f t="shared" si="15"/>
        <v>#REF!</v>
      </c>
      <c r="B633" s="370" t="s">
        <v>605</v>
      </c>
      <c r="C633" s="371" t="s">
        <v>3440</v>
      </c>
      <c r="D633" s="373" t="s">
        <v>3441</v>
      </c>
      <c r="E633" s="373" t="s">
        <v>1028</v>
      </c>
      <c r="F633" s="373" t="s">
        <v>3442</v>
      </c>
      <c r="G633" s="373" t="s">
        <v>3443</v>
      </c>
      <c r="H633" s="374" t="s">
        <v>3444</v>
      </c>
      <c r="I633" s="373" t="s">
        <v>641</v>
      </c>
      <c r="J633" s="373" t="s">
        <v>735</v>
      </c>
      <c r="K633" s="375" t="s">
        <v>614</v>
      </c>
      <c r="L633" s="373" t="s">
        <v>3419</v>
      </c>
      <c r="M633" s="376" t="s">
        <v>3445</v>
      </c>
      <c r="N633" s="47"/>
      <c r="O633" s="47"/>
      <c r="P633" s="72">
        <v>46023</v>
      </c>
      <c r="Q633" s="58">
        <f t="shared" si="16"/>
        <v>46387</v>
      </c>
      <c r="R633" s="47">
        <v>365</v>
      </c>
      <c r="S633" s="49"/>
      <c r="T633"/>
    </row>
    <row r="634" spans="1:20" s="24" customFormat="1" x14ac:dyDescent="0.4">
      <c r="A634" t="e">
        <f t="shared" si="15"/>
        <v>#REF!</v>
      </c>
      <c r="B634" s="370" t="s">
        <v>605</v>
      </c>
      <c r="C634" s="371" t="s">
        <v>541</v>
      </c>
      <c r="D634" s="373" t="s">
        <v>2549</v>
      </c>
      <c r="E634" s="373" t="s">
        <v>832</v>
      </c>
      <c r="F634" s="373" t="s">
        <v>3446</v>
      </c>
      <c r="G634" s="373" t="s">
        <v>3447</v>
      </c>
      <c r="H634" s="374" t="s">
        <v>3448</v>
      </c>
      <c r="I634" s="373" t="s">
        <v>3054</v>
      </c>
      <c r="J634" s="373" t="s">
        <v>3208</v>
      </c>
      <c r="K634" s="379" t="s">
        <v>614</v>
      </c>
      <c r="L634" s="373" t="s">
        <v>3419</v>
      </c>
      <c r="M634" s="376" t="s">
        <v>3449</v>
      </c>
      <c r="N634" s="47"/>
      <c r="O634" s="47"/>
      <c r="P634" s="72">
        <v>46079</v>
      </c>
      <c r="Q634" s="58">
        <f t="shared" si="16"/>
        <v>46162</v>
      </c>
      <c r="R634" s="47">
        <v>84</v>
      </c>
      <c r="S634" s="49"/>
      <c r="T634"/>
    </row>
    <row r="635" spans="1:20" s="24" customFormat="1" x14ac:dyDescent="0.4">
      <c r="A635" t="e">
        <f t="shared" si="15"/>
        <v>#REF!</v>
      </c>
      <c r="B635" s="370" t="s">
        <v>605</v>
      </c>
      <c r="C635" s="371" t="s">
        <v>1652</v>
      </c>
      <c r="D635" s="373" t="s">
        <v>1648</v>
      </c>
      <c r="E635" s="373" t="s">
        <v>795</v>
      </c>
      <c r="F635" s="373" t="s">
        <v>1653</v>
      </c>
      <c r="G635" s="373" t="s">
        <v>1654</v>
      </c>
      <c r="H635" s="374" t="s">
        <v>1655</v>
      </c>
      <c r="I635" s="383" t="s">
        <v>683</v>
      </c>
      <c r="J635" s="373" t="s">
        <v>631</v>
      </c>
      <c r="K635" s="375" t="s">
        <v>614</v>
      </c>
      <c r="L635" s="373" t="s">
        <v>3425</v>
      </c>
      <c r="M635" s="376" t="s">
        <v>3450</v>
      </c>
      <c r="N635" s="47"/>
      <c r="O635" s="47"/>
      <c r="P635" s="72">
        <v>46069</v>
      </c>
      <c r="Q635" s="58">
        <f t="shared" si="16"/>
        <v>46151</v>
      </c>
      <c r="R635" s="47">
        <v>83</v>
      </c>
      <c r="S635" s="49"/>
      <c r="T635"/>
    </row>
    <row r="636" spans="1:20" s="24" customFormat="1" x14ac:dyDescent="0.4">
      <c r="A636" t="e">
        <f>#REF!+1</f>
        <v>#REF!</v>
      </c>
      <c r="B636" s="370" t="s">
        <v>605</v>
      </c>
      <c r="C636" s="371" t="s">
        <v>3451</v>
      </c>
      <c r="D636" s="373" t="s">
        <v>706</v>
      </c>
      <c r="E636" s="373" t="s">
        <v>3452</v>
      </c>
      <c r="F636" s="373" t="s">
        <v>3453</v>
      </c>
      <c r="G636" s="373" t="s">
        <v>3454</v>
      </c>
      <c r="H636" s="374" t="s">
        <v>3455</v>
      </c>
      <c r="I636" s="373" t="s">
        <v>861</v>
      </c>
      <c r="J636" s="373" t="s">
        <v>631</v>
      </c>
      <c r="K636" s="375" t="s">
        <v>614</v>
      </c>
      <c r="L636" s="373" t="s">
        <v>3397</v>
      </c>
      <c r="M636" s="376" t="s">
        <v>3456</v>
      </c>
      <c r="N636" s="47"/>
      <c r="O636" s="47"/>
      <c r="P636" s="72">
        <v>46076</v>
      </c>
      <c r="Q636" s="58">
        <f t="shared" si="16"/>
        <v>46151</v>
      </c>
      <c r="R636" s="47">
        <v>76</v>
      </c>
      <c r="S636" s="49"/>
      <c r="T636"/>
    </row>
    <row r="637" spans="1:20" s="24" customFormat="1" x14ac:dyDescent="0.4">
      <c r="A637" t="e">
        <f t="shared" si="15"/>
        <v>#REF!</v>
      </c>
      <c r="B637" s="370" t="s">
        <v>605</v>
      </c>
      <c r="C637" s="371" t="s">
        <v>3457</v>
      </c>
      <c r="D637" s="373" t="s">
        <v>882</v>
      </c>
      <c r="E637" s="373" t="s">
        <v>1491</v>
      </c>
      <c r="F637" s="373" t="s">
        <v>3458</v>
      </c>
      <c r="G637" s="373" t="s">
        <v>3459</v>
      </c>
      <c r="H637" s="374" t="s">
        <v>3460</v>
      </c>
      <c r="I637" s="373" t="s">
        <v>913</v>
      </c>
      <c r="J637" s="383" t="s">
        <v>684</v>
      </c>
      <c r="K637" s="375" t="s">
        <v>614</v>
      </c>
      <c r="L637" s="373" t="s">
        <v>3397</v>
      </c>
      <c r="M637" s="376" t="s">
        <v>3461</v>
      </c>
      <c r="N637" s="47"/>
      <c r="O637" s="47"/>
      <c r="P637" s="72">
        <v>46102</v>
      </c>
      <c r="Q637" s="58">
        <f t="shared" si="16"/>
        <v>46387</v>
      </c>
      <c r="R637" s="47">
        <v>286</v>
      </c>
      <c r="S637" s="49"/>
      <c r="T637"/>
    </row>
    <row r="638" spans="1:20" s="24" customFormat="1" x14ac:dyDescent="0.4">
      <c r="A638" t="e">
        <f t="shared" si="15"/>
        <v>#REF!</v>
      </c>
      <c r="B638" s="370" t="s">
        <v>605</v>
      </c>
      <c r="C638" s="371" t="s">
        <v>3462</v>
      </c>
      <c r="D638" s="373" t="s">
        <v>687</v>
      </c>
      <c r="E638" s="373" t="s">
        <v>692</v>
      </c>
      <c r="F638" s="373" t="s">
        <v>3463</v>
      </c>
      <c r="G638" s="373" t="s">
        <v>2908</v>
      </c>
      <c r="H638" s="374" t="s">
        <v>3464</v>
      </c>
      <c r="I638" s="373" t="s">
        <v>734</v>
      </c>
      <c r="J638" s="373" t="s">
        <v>657</v>
      </c>
      <c r="K638" s="375" t="s">
        <v>614</v>
      </c>
      <c r="L638" s="373" t="s">
        <v>3397</v>
      </c>
      <c r="M638" s="376" t="s">
        <v>3465</v>
      </c>
      <c r="N638" s="47"/>
      <c r="O638" s="47"/>
      <c r="P638" s="72">
        <v>46067</v>
      </c>
      <c r="Q638" s="58">
        <f t="shared" si="16"/>
        <v>46387</v>
      </c>
      <c r="R638" s="47">
        <v>321</v>
      </c>
      <c r="S638" s="49"/>
      <c r="T638"/>
    </row>
    <row r="639" spans="1:20" s="24" customFormat="1" x14ac:dyDescent="0.4">
      <c r="A639" t="e">
        <f t="shared" si="15"/>
        <v>#REF!</v>
      </c>
      <c r="B639" s="370" t="s">
        <v>605</v>
      </c>
      <c r="C639" s="371" t="s">
        <v>3466</v>
      </c>
      <c r="D639" s="373" t="s">
        <v>1028</v>
      </c>
      <c r="E639" s="373" t="s">
        <v>3467</v>
      </c>
      <c r="F639" s="373" t="s">
        <v>3468</v>
      </c>
      <c r="G639" s="373" t="s">
        <v>3469</v>
      </c>
      <c r="H639" s="374" t="s">
        <v>3470</v>
      </c>
      <c r="I639" s="373" t="s">
        <v>799</v>
      </c>
      <c r="J639" s="383" t="s">
        <v>684</v>
      </c>
      <c r="K639" s="375" t="s">
        <v>614</v>
      </c>
      <c r="L639" s="373" t="s">
        <v>3397</v>
      </c>
      <c r="M639" s="376" t="s">
        <v>3471</v>
      </c>
      <c r="N639" s="47"/>
      <c r="O639" s="47"/>
      <c r="P639" s="72">
        <v>46041</v>
      </c>
      <c r="Q639" s="58">
        <f t="shared" si="16"/>
        <v>46387</v>
      </c>
      <c r="R639" s="47">
        <v>347</v>
      </c>
      <c r="S639" s="49"/>
      <c r="T639"/>
    </row>
    <row r="640" spans="1:20" s="24" customFormat="1" x14ac:dyDescent="0.4">
      <c r="A640" t="e">
        <f t="shared" si="15"/>
        <v>#REF!</v>
      </c>
      <c r="B640" s="370" t="s">
        <v>605</v>
      </c>
      <c r="C640" s="371" t="s">
        <v>3472</v>
      </c>
      <c r="D640" s="373" t="s">
        <v>742</v>
      </c>
      <c r="E640" s="373" t="s">
        <v>1648</v>
      </c>
      <c r="F640" s="373" t="s">
        <v>3473</v>
      </c>
      <c r="G640" s="373" t="s">
        <v>2907</v>
      </c>
      <c r="H640" s="374" t="s">
        <v>3474</v>
      </c>
      <c r="I640" s="373" t="s">
        <v>861</v>
      </c>
      <c r="J640" s="373" t="s">
        <v>613</v>
      </c>
      <c r="K640" s="375" t="s">
        <v>614</v>
      </c>
      <c r="L640" s="373" t="s">
        <v>3397</v>
      </c>
      <c r="M640" s="376" t="s">
        <v>3475</v>
      </c>
      <c r="N640" s="47"/>
      <c r="O640" s="47"/>
      <c r="P640" s="72">
        <v>46055</v>
      </c>
      <c r="Q640" s="58">
        <f t="shared" si="16"/>
        <v>46387</v>
      </c>
      <c r="R640" s="47">
        <v>333</v>
      </c>
      <c r="S640" s="49"/>
      <c r="T640"/>
    </row>
    <row r="641" spans="1:20" s="24" customFormat="1" x14ac:dyDescent="0.4">
      <c r="A641" t="e">
        <f>#REF!+1</f>
        <v>#REF!</v>
      </c>
      <c r="B641" s="370" t="s">
        <v>605</v>
      </c>
      <c r="C641" s="371" t="s">
        <v>677</v>
      </c>
      <c r="D641" s="373" t="s">
        <v>678</v>
      </c>
      <c r="E641" s="373" t="s">
        <v>679</v>
      </c>
      <c r="F641" s="373" t="s">
        <v>680</v>
      </c>
      <c r="G641" s="373" t="s">
        <v>681</v>
      </c>
      <c r="H641" s="374" t="s">
        <v>682</v>
      </c>
      <c r="I641" s="373" t="s">
        <v>649</v>
      </c>
      <c r="J641" s="373" t="s">
        <v>684</v>
      </c>
      <c r="K641" s="373" t="s">
        <v>614</v>
      </c>
      <c r="L641" s="373" t="s">
        <v>3399</v>
      </c>
      <c r="M641" s="376" t="s">
        <v>3476</v>
      </c>
      <c r="N641" s="47"/>
      <c r="O641" s="47"/>
      <c r="P641" s="72">
        <v>46064</v>
      </c>
      <c r="Q641" s="58">
        <f t="shared" si="16"/>
        <v>46387</v>
      </c>
      <c r="R641" s="47">
        <v>324</v>
      </c>
      <c r="S641" s="49"/>
      <c r="T641"/>
    </row>
    <row r="642" spans="1:20" s="24" customFormat="1" x14ac:dyDescent="0.4">
      <c r="A642" t="e">
        <f t="shared" ref="A642:A646" si="17">A641+1</f>
        <v>#REF!</v>
      </c>
      <c r="B642" s="370" t="s">
        <v>605</v>
      </c>
      <c r="C642" s="371" t="s">
        <v>1341</v>
      </c>
      <c r="D642" s="373" t="s">
        <v>1342</v>
      </c>
      <c r="E642" s="373" t="s">
        <v>1343</v>
      </c>
      <c r="F642" s="373" t="s">
        <v>1344</v>
      </c>
      <c r="G642" s="373" t="s">
        <v>1345</v>
      </c>
      <c r="H642" s="374" t="s">
        <v>1346</v>
      </c>
      <c r="I642" s="373" t="s">
        <v>703</v>
      </c>
      <c r="J642" s="373" t="s">
        <v>684</v>
      </c>
      <c r="K642" s="373" t="s">
        <v>614</v>
      </c>
      <c r="L642" s="373" t="s">
        <v>3399</v>
      </c>
      <c r="M642" s="376" t="s">
        <v>3477</v>
      </c>
      <c r="N642" s="47"/>
      <c r="O642" s="47"/>
      <c r="P642" s="72">
        <v>46088</v>
      </c>
      <c r="Q642" s="58">
        <f t="shared" si="16"/>
        <v>46203</v>
      </c>
      <c r="R642" s="47">
        <v>116</v>
      </c>
      <c r="S642" s="49"/>
      <c r="T642"/>
    </row>
    <row r="643" spans="1:20" s="24" customFormat="1" x14ac:dyDescent="0.4">
      <c r="A643" t="e">
        <f>#REF!+1</f>
        <v>#REF!</v>
      </c>
      <c r="B643" s="370" t="s">
        <v>605</v>
      </c>
      <c r="C643" s="371" t="s">
        <v>3478</v>
      </c>
      <c r="D643" s="373" t="s">
        <v>3479</v>
      </c>
      <c r="E643" s="373" t="s">
        <v>887</v>
      </c>
      <c r="F643" s="373" t="s">
        <v>1257</v>
      </c>
      <c r="G643" s="373" t="s">
        <v>3480</v>
      </c>
      <c r="H643" s="374" t="s">
        <v>3481</v>
      </c>
      <c r="I643" s="373" t="s">
        <v>3482</v>
      </c>
      <c r="J643" s="373" t="s">
        <v>813</v>
      </c>
      <c r="K643" s="375" t="s">
        <v>614</v>
      </c>
      <c r="L643" s="373" t="s">
        <v>3399</v>
      </c>
      <c r="M643" s="376" t="s">
        <v>3483</v>
      </c>
      <c r="N643" s="47"/>
      <c r="O643" s="47"/>
      <c r="P643" s="72">
        <v>46076</v>
      </c>
      <c r="Q643" s="58">
        <f t="shared" si="16"/>
        <v>46153</v>
      </c>
      <c r="R643" s="47">
        <v>78</v>
      </c>
      <c r="S643" s="49"/>
      <c r="T643"/>
    </row>
    <row r="644" spans="1:20" s="24" customFormat="1" x14ac:dyDescent="0.4">
      <c r="A644" t="e">
        <f>#REF!+1</f>
        <v>#REF!</v>
      </c>
      <c r="B644" s="370" t="s">
        <v>605</v>
      </c>
      <c r="C644" s="371" t="s">
        <v>3484</v>
      </c>
      <c r="D644" s="373" t="s">
        <v>699</v>
      </c>
      <c r="E644" s="373" t="s">
        <v>3485</v>
      </c>
      <c r="F644" s="373" t="s">
        <v>3486</v>
      </c>
      <c r="G644" s="373" t="s">
        <v>2885</v>
      </c>
      <c r="H644" s="374" t="s">
        <v>3487</v>
      </c>
      <c r="I644" s="373" t="s">
        <v>703</v>
      </c>
      <c r="J644" s="373" t="s">
        <v>735</v>
      </c>
      <c r="K644" s="373" t="s">
        <v>614</v>
      </c>
      <c r="L644" s="373" t="s">
        <v>3399</v>
      </c>
      <c r="M644" s="376" t="s">
        <v>3488</v>
      </c>
      <c r="N644" s="47"/>
      <c r="O644" s="47"/>
      <c r="P644" s="72">
        <v>46097</v>
      </c>
      <c r="Q644" s="58">
        <f t="shared" si="16"/>
        <v>46219</v>
      </c>
      <c r="R644" s="47">
        <v>123</v>
      </c>
      <c r="S644" s="49"/>
      <c r="T644"/>
    </row>
    <row r="645" spans="1:20" s="24" customFormat="1" x14ac:dyDescent="0.4">
      <c r="A645" t="e">
        <f t="shared" si="17"/>
        <v>#REF!</v>
      </c>
      <c r="B645" s="370" t="s">
        <v>605</v>
      </c>
      <c r="C645" s="371" t="s">
        <v>1899</v>
      </c>
      <c r="D645" s="373" t="s">
        <v>952</v>
      </c>
      <c r="E645" s="373" t="s">
        <v>1900</v>
      </c>
      <c r="F645" s="373" t="s">
        <v>1901</v>
      </c>
      <c r="G645" s="373" t="s">
        <v>1902</v>
      </c>
      <c r="H645" s="374" t="s">
        <v>1903</v>
      </c>
      <c r="I645" s="373" t="s">
        <v>703</v>
      </c>
      <c r="J645" s="373" t="s">
        <v>697</v>
      </c>
      <c r="K645" s="375" t="s">
        <v>614</v>
      </c>
      <c r="L645" s="373" t="s">
        <v>3399</v>
      </c>
      <c r="M645" s="376" t="s">
        <v>3489</v>
      </c>
      <c r="N645" s="47"/>
      <c r="O645" s="47"/>
      <c r="P645" s="72">
        <v>46083</v>
      </c>
      <c r="Q645" s="58">
        <f t="shared" si="16"/>
        <v>46203</v>
      </c>
      <c r="R645" s="47">
        <v>121</v>
      </c>
      <c r="S645" s="49"/>
      <c r="T645"/>
    </row>
    <row r="646" spans="1:20" s="24" customFormat="1" x14ac:dyDescent="0.4">
      <c r="A646" t="e">
        <f t="shared" si="17"/>
        <v>#REF!</v>
      </c>
      <c r="B646" s="370" t="s">
        <v>605</v>
      </c>
      <c r="C646" s="371" t="s">
        <v>3490</v>
      </c>
      <c r="D646" s="373" t="s">
        <v>1375</v>
      </c>
      <c r="E646" s="373" t="s">
        <v>3491</v>
      </c>
      <c r="F646" s="373" t="s">
        <v>3492</v>
      </c>
      <c r="G646" s="373" t="s">
        <v>3493</v>
      </c>
      <c r="H646" s="374" t="s">
        <v>3494</v>
      </c>
      <c r="I646" s="373" t="s">
        <v>703</v>
      </c>
      <c r="J646" s="373" t="s">
        <v>704</v>
      </c>
      <c r="K646" s="379" t="s">
        <v>614</v>
      </c>
      <c r="L646" s="373" t="s">
        <v>3397</v>
      </c>
      <c r="M646" s="376" t="s">
        <v>3495</v>
      </c>
      <c r="N646" s="47"/>
      <c r="O646" s="47"/>
      <c r="P646" s="72">
        <v>46084</v>
      </c>
      <c r="Q646" s="58">
        <f t="shared" si="16"/>
        <v>46387</v>
      </c>
      <c r="R646" s="47">
        <v>304</v>
      </c>
      <c r="S646" s="49"/>
      <c r="T646"/>
    </row>
    <row r="647" spans="1:20" s="24" customFormat="1" x14ac:dyDescent="0.4">
      <c r="A647" t="e">
        <f>#REF!+1</f>
        <v>#REF!</v>
      </c>
      <c r="B647" s="370" t="s">
        <v>605</v>
      </c>
      <c r="C647" s="371" t="s">
        <v>1047</v>
      </c>
      <c r="D647" s="373" t="s">
        <v>1048</v>
      </c>
      <c r="E647" s="373" t="s">
        <v>68</v>
      </c>
      <c r="F647" s="373" t="s">
        <v>1049</v>
      </c>
      <c r="G647" s="373" t="s">
        <v>1050</v>
      </c>
      <c r="H647" s="374" t="s">
        <v>1051</v>
      </c>
      <c r="I647" s="373" t="s">
        <v>703</v>
      </c>
      <c r="J647" s="373" t="s">
        <v>669</v>
      </c>
      <c r="K647" s="373" t="s">
        <v>614</v>
      </c>
      <c r="L647" s="373" t="s">
        <v>3399</v>
      </c>
      <c r="M647" s="376" t="s">
        <v>3496</v>
      </c>
      <c r="N647" s="47"/>
      <c r="O647" s="47"/>
      <c r="P647" s="72">
        <v>46090</v>
      </c>
      <c r="Q647" s="58">
        <f t="shared" si="16"/>
        <v>46203</v>
      </c>
      <c r="R647" s="47">
        <v>114</v>
      </c>
      <c r="S647" s="49"/>
      <c r="T647"/>
    </row>
    <row r="648" spans="1:20" s="24" customFormat="1" x14ac:dyDescent="0.4">
      <c r="B648" s="370" t="s">
        <v>605</v>
      </c>
      <c r="C648" s="371" t="s">
        <v>2223</v>
      </c>
      <c r="D648" s="373" t="s">
        <v>2200</v>
      </c>
      <c r="E648" s="373" t="s">
        <v>2224</v>
      </c>
      <c r="F648" s="373" t="s">
        <v>2225</v>
      </c>
      <c r="G648" s="373" t="s">
        <v>2226</v>
      </c>
      <c r="H648" s="374" t="s">
        <v>2227</v>
      </c>
      <c r="I648" s="373" t="s">
        <v>703</v>
      </c>
      <c r="J648" s="373" t="s">
        <v>650</v>
      </c>
      <c r="K648" s="375" t="s">
        <v>614</v>
      </c>
      <c r="L648" s="373" t="s">
        <v>3399</v>
      </c>
      <c r="M648" s="376" t="s">
        <v>3497</v>
      </c>
      <c r="N648" s="47"/>
      <c r="O648" s="47"/>
      <c r="P648" s="72">
        <v>46088</v>
      </c>
      <c r="Q648" s="58">
        <f t="shared" si="16"/>
        <v>46203</v>
      </c>
      <c r="R648" s="47">
        <v>116</v>
      </c>
      <c r="S648" s="49"/>
      <c r="T648"/>
    </row>
    <row r="649" spans="1:20" s="24" customFormat="1" x14ac:dyDescent="0.4">
      <c r="B649" s="370" t="s">
        <v>605</v>
      </c>
      <c r="C649" s="371" t="s">
        <v>2313</v>
      </c>
      <c r="D649" s="373" t="s">
        <v>2314</v>
      </c>
      <c r="E649" s="373" t="s">
        <v>1028</v>
      </c>
      <c r="F649" s="373" t="s">
        <v>2315</v>
      </c>
      <c r="G649" s="373" t="s">
        <v>2316</v>
      </c>
      <c r="H649" s="374" t="s">
        <v>2317</v>
      </c>
      <c r="I649" s="383" t="s">
        <v>683</v>
      </c>
      <c r="J649" s="373" t="s">
        <v>684</v>
      </c>
      <c r="K649" s="375" t="s">
        <v>614</v>
      </c>
      <c r="L649" s="373" t="s">
        <v>3399</v>
      </c>
      <c r="M649" s="376" t="s">
        <v>3498</v>
      </c>
      <c r="N649" s="47"/>
      <c r="O649" s="47"/>
      <c r="P649" s="72">
        <v>46090</v>
      </c>
      <c r="Q649" s="58">
        <f t="shared" si="16"/>
        <v>46387</v>
      </c>
      <c r="R649" s="47">
        <v>298</v>
      </c>
      <c r="S649" s="49"/>
      <c r="T649"/>
    </row>
    <row r="650" spans="1:20" s="24" customFormat="1" x14ac:dyDescent="0.4">
      <c r="B650" s="370" t="s">
        <v>605</v>
      </c>
      <c r="C650" s="371" t="s">
        <v>3499</v>
      </c>
      <c r="D650" s="373" t="s">
        <v>2845</v>
      </c>
      <c r="E650" s="373" t="s">
        <v>687</v>
      </c>
      <c r="F650" s="373" t="s">
        <v>3500</v>
      </c>
      <c r="G650" s="373" t="s">
        <v>3501</v>
      </c>
      <c r="H650" s="374" t="s">
        <v>3502</v>
      </c>
      <c r="I650" s="378" t="s">
        <v>630</v>
      </c>
      <c r="J650" s="373" t="s">
        <v>664</v>
      </c>
      <c r="K650" s="375" t="s">
        <v>614</v>
      </c>
      <c r="L650" s="373" t="s">
        <v>3397</v>
      </c>
      <c r="M650" s="376" t="s">
        <v>3503</v>
      </c>
      <c r="N650" s="47"/>
      <c r="O650" s="47"/>
      <c r="P650" s="72">
        <v>46027</v>
      </c>
      <c r="Q650" s="58">
        <f t="shared" si="16"/>
        <v>46264</v>
      </c>
      <c r="R650" s="47">
        <v>238</v>
      </c>
      <c r="S650" s="49"/>
      <c r="T650"/>
    </row>
    <row r="651" spans="1:20" s="24" customFormat="1" x14ac:dyDescent="0.4">
      <c r="B651" s="370" t="s">
        <v>605</v>
      </c>
      <c r="C651" s="371" t="s">
        <v>3504</v>
      </c>
      <c r="D651" s="373" t="s">
        <v>864</v>
      </c>
      <c r="E651" s="373" t="s">
        <v>3505</v>
      </c>
      <c r="F651" s="373" t="s">
        <v>3506</v>
      </c>
      <c r="G651" s="373" t="s">
        <v>2905</v>
      </c>
      <c r="H651" s="374" t="s">
        <v>3507</v>
      </c>
      <c r="I651" s="373" t="s">
        <v>861</v>
      </c>
      <c r="J651" s="373" t="s">
        <v>664</v>
      </c>
      <c r="K651" s="375" t="s">
        <v>614</v>
      </c>
      <c r="L651" s="373" t="s">
        <v>3397</v>
      </c>
      <c r="M651" s="376" t="s">
        <v>3508</v>
      </c>
      <c r="N651" s="47"/>
      <c r="O651" s="47"/>
      <c r="P651" s="72">
        <v>46030</v>
      </c>
      <c r="Q651" s="58">
        <f t="shared" si="16"/>
        <v>46387</v>
      </c>
      <c r="R651" s="47">
        <v>358</v>
      </c>
      <c r="S651" s="49"/>
      <c r="T651"/>
    </row>
    <row r="652" spans="1:20" s="24" customFormat="1" x14ac:dyDescent="0.4">
      <c r="B652" s="370" t="s">
        <v>605</v>
      </c>
      <c r="C652" s="371" t="s">
        <v>3509</v>
      </c>
      <c r="D652" s="373" t="s">
        <v>3510</v>
      </c>
      <c r="E652" s="373" t="s">
        <v>832</v>
      </c>
      <c r="F652" s="373" t="s">
        <v>3511</v>
      </c>
      <c r="G652" s="373" t="s">
        <v>3512</v>
      </c>
      <c r="H652" s="374" t="s">
        <v>3513</v>
      </c>
      <c r="I652" s="373" t="s">
        <v>768</v>
      </c>
      <c r="J652" s="373" t="s">
        <v>664</v>
      </c>
      <c r="K652" s="375" t="s">
        <v>614</v>
      </c>
      <c r="L652" s="373" t="s">
        <v>3397</v>
      </c>
      <c r="M652" s="376" t="s">
        <v>3514</v>
      </c>
      <c r="N652" s="47"/>
      <c r="O652" s="47"/>
      <c r="P652" s="72">
        <v>46043</v>
      </c>
      <c r="Q652" s="58">
        <f t="shared" si="16"/>
        <v>46387</v>
      </c>
      <c r="R652" s="47">
        <v>345</v>
      </c>
      <c r="S652" s="49"/>
      <c r="T652"/>
    </row>
    <row r="653" spans="1:20" s="24" customFormat="1" x14ac:dyDescent="0.4">
      <c r="B653" s="370" t="s">
        <v>605</v>
      </c>
      <c r="C653" s="371" t="s">
        <v>1408</v>
      </c>
      <c r="D653" s="373" t="s">
        <v>1409</v>
      </c>
      <c r="E653" s="373" t="s">
        <v>1410</v>
      </c>
      <c r="F653" s="373" t="s">
        <v>1411</v>
      </c>
      <c r="G653" s="373" t="s">
        <v>1412</v>
      </c>
      <c r="H653" s="374" t="s">
        <v>1413</v>
      </c>
      <c r="I653" s="383" t="s">
        <v>683</v>
      </c>
      <c r="J653" s="373" t="s">
        <v>751</v>
      </c>
      <c r="K653" s="375" t="s">
        <v>614</v>
      </c>
      <c r="L653" s="373" t="s">
        <v>3399</v>
      </c>
      <c r="M653" s="376" t="s">
        <v>3515</v>
      </c>
      <c r="N653" s="47"/>
      <c r="O653" s="47"/>
      <c r="P653" s="72">
        <v>46023</v>
      </c>
      <c r="Q653" s="58">
        <f t="shared" si="16"/>
        <v>46203</v>
      </c>
      <c r="R653" s="47">
        <v>181</v>
      </c>
      <c r="S653" s="49"/>
      <c r="T653"/>
    </row>
    <row r="654" spans="1:20" s="24" customFormat="1" x14ac:dyDescent="0.4">
      <c r="B654" s="370" t="s">
        <v>605</v>
      </c>
      <c r="C654" s="371" t="s">
        <v>3516</v>
      </c>
      <c r="D654" s="373" t="s">
        <v>2928</v>
      </c>
      <c r="E654" s="373" t="s">
        <v>2928</v>
      </c>
      <c r="F654" s="373" t="s">
        <v>3517</v>
      </c>
      <c r="G654" s="373" t="s">
        <v>3518</v>
      </c>
      <c r="H654" s="374" t="s">
        <v>3519</v>
      </c>
      <c r="I654" s="373" t="s">
        <v>861</v>
      </c>
      <c r="J654" s="373" t="s">
        <v>751</v>
      </c>
      <c r="K654" s="375" t="s">
        <v>614</v>
      </c>
      <c r="L654" s="373" t="s">
        <v>3397</v>
      </c>
      <c r="M654" s="376" t="s">
        <v>3520</v>
      </c>
      <c r="N654" s="47"/>
      <c r="O654" s="47"/>
      <c r="P654" s="72">
        <v>46027</v>
      </c>
      <c r="Q654" s="58">
        <f t="shared" si="16"/>
        <v>46203</v>
      </c>
      <c r="R654" s="47">
        <v>177</v>
      </c>
      <c r="S654" s="49"/>
      <c r="T654"/>
    </row>
    <row r="655" spans="1:20" s="24" customFormat="1" x14ac:dyDescent="0.4">
      <c r="B655" s="370" t="s">
        <v>605</v>
      </c>
      <c r="C655" s="371" t="s">
        <v>3521</v>
      </c>
      <c r="D655" s="373" t="s">
        <v>1022</v>
      </c>
      <c r="E655" s="373" t="s">
        <v>2726</v>
      </c>
      <c r="F655" s="373" t="s">
        <v>3522</v>
      </c>
      <c r="G655" s="373" t="s">
        <v>3523</v>
      </c>
      <c r="H655" s="374" t="s">
        <v>3524</v>
      </c>
      <c r="I655" s="373" t="s">
        <v>774</v>
      </c>
      <c r="J655" s="373" t="s">
        <v>1069</v>
      </c>
      <c r="K655" s="373" t="s">
        <v>614</v>
      </c>
      <c r="L655" s="373" t="s">
        <v>3419</v>
      </c>
      <c r="M655" s="376" t="s">
        <v>3525</v>
      </c>
      <c r="N655" s="47"/>
      <c r="O655" s="47"/>
      <c r="P655" s="72">
        <v>46034</v>
      </c>
      <c r="Q655" s="58">
        <f t="shared" si="16"/>
        <v>46387</v>
      </c>
      <c r="R655" s="47">
        <v>354</v>
      </c>
      <c r="S655" s="49"/>
      <c r="T655"/>
    </row>
    <row r="656" spans="1:20" s="24" customFormat="1" x14ac:dyDescent="0.4">
      <c r="B656" s="370" t="s">
        <v>605</v>
      </c>
      <c r="C656" s="371" t="s">
        <v>584</v>
      </c>
      <c r="D656" s="373" t="s">
        <v>2329</v>
      </c>
      <c r="E656" s="373" t="s">
        <v>3526</v>
      </c>
      <c r="F656" s="373" t="s">
        <v>3527</v>
      </c>
      <c r="G656" s="373" t="s">
        <v>3122</v>
      </c>
      <c r="H656" s="374" t="s">
        <v>228</v>
      </c>
      <c r="I656" s="373" t="s">
        <v>3120</v>
      </c>
      <c r="J656" s="373" t="s">
        <v>3121</v>
      </c>
      <c r="K656" s="373" t="s">
        <v>614</v>
      </c>
      <c r="L656" s="373" t="s">
        <v>3419</v>
      </c>
      <c r="M656" s="376" t="s">
        <v>3528</v>
      </c>
      <c r="N656" s="47"/>
      <c r="O656" s="47"/>
      <c r="P656" s="72">
        <v>46104</v>
      </c>
      <c r="Q656" s="58">
        <f t="shared" si="16"/>
        <v>46193</v>
      </c>
      <c r="R656" s="47">
        <v>90</v>
      </c>
      <c r="S656" s="49"/>
      <c r="T656"/>
    </row>
    <row r="657" spans="2:20" s="24" customFormat="1" x14ac:dyDescent="0.4">
      <c r="B657" s="370" t="s">
        <v>605</v>
      </c>
      <c r="C657" s="371" t="s">
        <v>429</v>
      </c>
      <c r="D657" s="373" t="s">
        <v>1017</v>
      </c>
      <c r="E657" s="373" t="s">
        <v>2099</v>
      </c>
      <c r="F657" s="373" t="s">
        <v>2100</v>
      </c>
      <c r="G657" s="373" t="s">
        <v>2101</v>
      </c>
      <c r="H657" s="374" t="s">
        <v>121</v>
      </c>
      <c r="I657" s="373" t="s">
        <v>641</v>
      </c>
      <c r="J657" s="373" t="s">
        <v>778</v>
      </c>
      <c r="K657" s="373" t="s">
        <v>614</v>
      </c>
      <c r="L657" s="373" t="s">
        <v>3425</v>
      </c>
      <c r="M657" s="376" t="s">
        <v>3529</v>
      </c>
      <c r="N657" s="47"/>
      <c r="O657" s="47"/>
      <c r="P657" s="72">
        <v>46090</v>
      </c>
      <c r="Q657" s="58">
        <f t="shared" si="16"/>
        <v>46387</v>
      </c>
      <c r="R657" s="47">
        <v>298</v>
      </c>
      <c r="S657" s="49"/>
      <c r="T657"/>
    </row>
    <row r="658" spans="2:20" s="24" customFormat="1" x14ac:dyDescent="0.4">
      <c r="B658" s="370" t="s">
        <v>605</v>
      </c>
      <c r="C658" s="371" t="s">
        <v>1692</v>
      </c>
      <c r="D658" s="373" t="s">
        <v>1693</v>
      </c>
      <c r="E658" s="373" t="s">
        <v>1470</v>
      </c>
      <c r="F658" s="373" t="s">
        <v>1694</v>
      </c>
      <c r="G658" s="373" t="s">
        <v>1695</v>
      </c>
      <c r="H658" s="374" t="s">
        <v>1696</v>
      </c>
      <c r="I658" s="383" t="s">
        <v>683</v>
      </c>
      <c r="J658" s="373" t="s">
        <v>664</v>
      </c>
      <c r="K658" s="373" t="s">
        <v>614</v>
      </c>
      <c r="L658" s="373" t="s">
        <v>3425</v>
      </c>
      <c r="M658" s="376" t="s">
        <v>3530</v>
      </c>
      <c r="N658" s="47"/>
      <c r="O658" s="47"/>
      <c r="P658" s="72">
        <v>46098</v>
      </c>
      <c r="Q658" s="58">
        <f t="shared" si="16"/>
        <v>46183</v>
      </c>
      <c r="R658" s="47">
        <v>86</v>
      </c>
      <c r="S658" s="49"/>
      <c r="T658"/>
    </row>
    <row r="659" spans="2:20" s="24" customFormat="1" x14ac:dyDescent="0.4">
      <c r="B659" s="370" t="s">
        <v>605</v>
      </c>
      <c r="C659" s="371" t="s">
        <v>464</v>
      </c>
      <c r="D659" s="373" t="s">
        <v>815</v>
      </c>
      <c r="E659" s="373" t="s">
        <v>2752</v>
      </c>
      <c r="F659" s="373" t="s">
        <v>3531</v>
      </c>
      <c r="G659" s="373" t="s">
        <v>3532</v>
      </c>
      <c r="H659" s="374" t="s">
        <v>150</v>
      </c>
      <c r="I659" s="373" t="s">
        <v>734</v>
      </c>
      <c r="J659" s="373" t="s">
        <v>778</v>
      </c>
      <c r="K659" s="373" t="s">
        <v>614</v>
      </c>
      <c r="L659" s="373" t="s">
        <v>3397</v>
      </c>
      <c r="M659" s="376" t="s">
        <v>3533</v>
      </c>
      <c r="N659" s="47"/>
      <c r="O659" s="47"/>
      <c r="P659" s="72">
        <v>46090</v>
      </c>
      <c r="Q659" s="58">
        <f t="shared" si="16"/>
        <v>46387</v>
      </c>
      <c r="R659" s="47">
        <v>298</v>
      </c>
      <c r="S659" s="49"/>
      <c r="T659"/>
    </row>
    <row r="660" spans="2:20" s="24" customFormat="1" x14ac:dyDescent="0.4">
      <c r="B660" s="370" t="s">
        <v>605</v>
      </c>
      <c r="C660" s="371" t="s">
        <v>3534</v>
      </c>
      <c r="D660" s="373" t="s">
        <v>3535</v>
      </c>
      <c r="E660" s="373" t="s">
        <v>1381</v>
      </c>
      <c r="F660" s="373" t="s">
        <v>3536</v>
      </c>
      <c r="G660" s="373" t="s">
        <v>3537</v>
      </c>
      <c r="H660" s="374" t="s">
        <v>3538</v>
      </c>
      <c r="I660" s="383" t="s">
        <v>683</v>
      </c>
      <c r="J660" s="373" t="s">
        <v>697</v>
      </c>
      <c r="K660" s="375" t="s">
        <v>614</v>
      </c>
      <c r="L660" s="373" t="s">
        <v>3397</v>
      </c>
      <c r="M660" s="376" t="s">
        <v>3539</v>
      </c>
      <c r="N660" s="47"/>
      <c r="O660" s="47"/>
      <c r="P660" s="72">
        <v>46097</v>
      </c>
      <c r="Q660" s="58">
        <f t="shared" si="16"/>
        <v>46203</v>
      </c>
      <c r="R660" s="47">
        <v>107</v>
      </c>
      <c r="S660" s="49"/>
      <c r="T660"/>
    </row>
    <row r="661" spans="2:20" s="24" customFormat="1" x14ac:dyDescent="0.4">
      <c r="B661" s="370" t="s">
        <v>605</v>
      </c>
      <c r="C661" s="371" t="s">
        <v>3540</v>
      </c>
      <c r="D661" s="373" t="s">
        <v>3541</v>
      </c>
      <c r="E661" s="373" t="s">
        <v>1104</v>
      </c>
      <c r="F661" s="373" t="s">
        <v>3542</v>
      </c>
      <c r="G661" s="373" t="s">
        <v>3543</v>
      </c>
      <c r="H661" s="374" t="s">
        <v>3544</v>
      </c>
      <c r="I661" s="373" t="s">
        <v>768</v>
      </c>
      <c r="J661" s="373" t="s">
        <v>813</v>
      </c>
      <c r="K661" s="375" t="s">
        <v>614</v>
      </c>
      <c r="L661" s="373" t="s">
        <v>3397</v>
      </c>
      <c r="M661" s="376" t="s">
        <v>3545</v>
      </c>
      <c r="N661" s="47"/>
      <c r="O661" s="47"/>
      <c r="P661" s="72">
        <v>46099</v>
      </c>
      <c r="Q661" s="58">
        <f t="shared" si="16"/>
        <v>46147</v>
      </c>
      <c r="R661" s="47">
        <v>49</v>
      </c>
      <c r="S661" s="49"/>
      <c r="T661"/>
    </row>
    <row r="662" spans="2:20" s="24" customFormat="1" x14ac:dyDescent="0.4">
      <c r="B662" s="370" t="s">
        <v>605</v>
      </c>
      <c r="C662" s="371" t="s">
        <v>418</v>
      </c>
      <c r="D662" s="373" t="s">
        <v>1044</v>
      </c>
      <c r="E662" s="373" t="s">
        <v>832</v>
      </c>
      <c r="F662" s="373" t="s">
        <v>1045</v>
      </c>
      <c r="G662" s="373" t="s">
        <v>1046</v>
      </c>
      <c r="H662" s="374" t="s">
        <v>194</v>
      </c>
      <c r="I662" s="373" t="s">
        <v>641</v>
      </c>
      <c r="J662" s="373" t="s">
        <v>778</v>
      </c>
      <c r="K662" s="373" t="s">
        <v>614</v>
      </c>
      <c r="L662" s="373" t="s">
        <v>3399</v>
      </c>
      <c r="M662" s="376" t="s">
        <v>3546</v>
      </c>
      <c r="N662" s="47"/>
      <c r="O662" s="47"/>
      <c r="P662" s="72">
        <v>46084</v>
      </c>
      <c r="Q662" s="58">
        <f t="shared" si="16"/>
        <v>46387</v>
      </c>
      <c r="R662" s="47">
        <v>304</v>
      </c>
      <c r="S662" s="49"/>
      <c r="T662"/>
    </row>
    <row r="663" spans="2:20" s="24" customFormat="1" x14ac:dyDescent="0.4">
      <c r="B663" s="370" t="s">
        <v>605</v>
      </c>
      <c r="C663" s="371" t="s">
        <v>367</v>
      </c>
      <c r="D663" s="373" t="s">
        <v>1819</v>
      </c>
      <c r="E663" s="373" t="s">
        <v>716</v>
      </c>
      <c r="F663" s="373" t="s">
        <v>1820</v>
      </c>
      <c r="G663" s="373" t="s">
        <v>1821</v>
      </c>
      <c r="H663" s="374" t="s">
        <v>191</v>
      </c>
      <c r="I663" s="373" t="s">
        <v>720</v>
      </c>
      <c r="J663" s="373" t="s">
        <v>778</v>
      </c>
      <c r="K663" s="373" t="s">
        <v>614</v>
      </c>
      <c r="L663" s="373" t="s">
        <v>3399</v>
      </c>
      <c r="M663" s="376" t="s">
        <v>3547</v>
      </c>
      <c r="N663" s="47"/>
      <c r="O663" s="47"/>
      <c r="P663" s="72">
        <v>46084</v>
      </c>
      <c r="Q663" s="58">
        <f t="shared" si="16"/>
        <v>46387</v>
      </c>
      <c r="R663" s="47">
        <v>304</v>
      </c>
      <c r="S663" s="49"/>
      <c r="T663"/>
    </row>
    <row r="664" spans="2:20" s="24" customFormat="1" x14ac:dyDescent="0.4">
      <c r="B664" s="370" t="s">
        <v>605</v>
      </c>
      <c r="C664" s="371" t="s">
        <v>1945</v>
      </c>
      <c r="D664" s="373" t="s">
        <v>1946</v>
      </c>
      <c r="E664" s="373" t="s">
        <v>1947</v>
      </c>
      <c r="F664" s="373" t="s">
        <v>1948</v>
      </c>
      <c r="G664" s="373" t="s">
        <v>1949</v>
      </c>
      <c r="H664" s="374" t="s">
        <v>1950</v>
      </c>
      <c r="I664" s="373" t="s">
        <v>622</v>
      </c>
      <c r="J664" s="373" t="s">
        <v>751</v>
      </c>
      <c r="K664" s="375" t="s">
        <v>614</v>
      </c>
      <c r="L664" s="373" t="s">
        <v>3399</v>
      </c>
      <c r="M664" s="376" t="s">
        <v>3548</v>
      </c>
      <c r="N664" s="47"/>
      <c r="O664" s="47"/>
      <c r="P664" s="72">
        <v>46095</v>
      </c>
      <c r="Q664" s="58">
        <f t="shared" si="16"/>
        <v>46203</v>
      </c>
      <c r="R664" s="47">
        <v>109</v>
      </c>
      <c r="S664" s="49"/>
      <c r="T664"/>
    </row>
    <row r="665" spans="2:20" s="24" customFormat="1" x14ac:dyDescent="0.4">
      <c r="B665" s="370" t="s">
        <v>605</v>
      </c>
      <c r="C665" s="371" t="s">
        <v>2004</v>
      </c>
      <c r="D665" s="373" t="s">
        <v>1999</v>
      </c>
      <c r="E665" s="373" t="s">
        <v>2005</v>
      </c>
      <c r="F665" s="373" t="s">
        <v>2006</v>
      </c>
      <c r="G665" s="373" t="s">
        <v>2007</v>
      </c>
      <c r="H665" s="374" t="s">
        <v>2008</v>
      </c>
      <c r="I665" s="378" t="s">
        <v>630</v>
      </c>
      <c r="J665" s="373" t="s">
        <v>684</v>
      </c>
      <c r="K665" s="375" t="s">
        <v>614</v>
      </c>
      <c r="L665" s="373" t="s">
        <v>3399</v>
      </c>
      <c r="M665" s="376" t="s">
        <v>3549</v>
      </c>
      <c r="N665" s="47"/>
      <c r="O665" s="47"/>
      <c r="P665" s="72">
        <v>46101</v>
      </c>
      <c r="Q665" s="58">
        <f t="shared" si="16"/>
        <v>46184</v>
      </c>
      <c r="R665" s="47">
        <v>84</v>
      </c>
      <c r="S665" s="49"/>
      <c r="T665"/>
    </row>
    <row r="666" spans="2:20" s="24" customFormat="1" x14ac:dyDescent="0.4">
      <c r="B666" s="370" t="s">
        <v>605</v>
      </c>
      <c r="C666" s="371" t="s">
        <v>973</v>
      </c>
      <c r="D666" s="373" t="s">
        <v>974</v>
      </c>
      <c r="E666" s="373" t="s">
        <v>975</v>
      </c>
      <c r="F666" s="373" t="s">
        <v>976</v>
      </c>
      <c r="G666" s="373" t="s">
        <v>977</v>
      </c>
      <c r="H666" s="374" t="s">
        <v>978</v>
      </c>
      <c r="I666" s="373" t="s">
        <v>1026</v>
      </c>
      <c r="J666" s="373" t="s">
        <v>751</v>
      </c>
      <c r="K666" s="375" t="s">
        <v>614</v>
      </c>
      <c r="L666" s="373" t="s">
        <v>3399</v>
      </c>
      <c r="M666" s="376" t="s">
        <v>3550</v>
      </c>
      <c r="N666" s="47"/>
      <c r="O666" s="47"/>
      <c r="P666" s="72">
        <v>46100</v>
      </c>
      <c r="Q666" s="58">
        <f t="shared" si="16"/>
        <v>46203</v>
      </c>
      <c r="R666" s="47">
        <v>104</v>
      </c>
      <c r="S666" s="49"/>
      <c r="T666"/>
    </row>
    <row r="667" spans="2:20" s="24" customFormat="1" x14ac:dyDescent="0.4">
      <c r="B667" s="370" t="s">
        <v>605</v>
      </c>
      <c r="C667" s="371" t="s">
        <v>1352</v>
      </c>
      <c r="D667" s="373" t="s">
        <v>1353</v>
      </c>
      <c r="E667" s="373" t="s">
        <v>716</v>
      </c>
      <c r="F667" s="373" t="s">
        <v>1354</v>
      </c>
      <c r="G667" s="373" t="s">
        <v>1355</v>
      </c>
      <c r="H667" s="374" t="s">
        <v>1356</v>
      </c>
      <c r="I667" s="373" t="s">
        <v>703</v>
      </c>
      <c r="J667" s="373" t="s">
        <v>728</v>
      </c>
      <c r="K667" s="375" t="s">
        <v>614</v>
      </c>
      <c r="L667" s="373" t="s">
        <v>3399</v>
      </c>
      <c r="M667" s="376" t="s">
        <v>3551</v>
      </c>
      <c r="N667" s="47"/>
      <c r="O667" s="47"/>
      <c r="P667" s="72">
        <v>46111</v>
      </c>
      <c r="Q667" s="58">
        <f t="shared" si="16"/>
        <v>46170</v>
      </c>
      <c r="R667" s="47">
        <v>60</v>
      </c>
      <c r="S667" s="49"/>
      <c r="T667"/>
    </row>
    <row r="668" spans="2:20" s="24" customFormat="1" x14ac:dyDescent="0.4">
      <c r="B668" s="370" t="s">
        <v>605</v>
      </c>
      <c r="C668" s="371" t="s">
        <v>3552</v>
      </c>
      <c r="D668" s="373" t="s">
        <v>975</v>
      </c>
      <c r="E668" s="373" t="s">
        <v>980</v>
      </c>
      <c r="F668" s="373" t="s">
        <v>3553</v>
      </c>
      <c r="G668" s="373" t="s">
        <v>3554</v>
      </c>
      <c r="H668" s="374" t="s">
        <v>3555</v>
      </c>
      <c r="I668" s="373" t="s">
        <v>703</v>
      </c>
      <c r="J668" s="373" t="s">
        <v>669</v>
      </c>
      <c r="K668" s="373" t="s">
        <v>614</v>
      </c>
      <c r="L668" s="373" t="s">
        <v>3397</v>
      </c>
      <c r="M668" s="376" t="s">
        <v>3556</v>
      </c>
      <c r="N668" s="47"/>
      <c r="O668" s="47"/>
      <c r="P668" s="72">
        <v>46097</v>
      </c>
      <c r="Q668" s="58">
        <f t="shared" si="16"/>
        <v>46203</v>
      </c>
      <c r="R668" s="47">
        <v>107</v>
      </c>
      <c r="S668" s="49"/>
      <c r="T668"/>
    </row>
    <row r="669" spans="2:20" s="24" customFormat="1" x14ac:dyDescent="0.4">
      <c r="B669" s="370" t="s">
        <v>605</v>
      </c>
      <c r="C669" s="371" t="s">
        <v>467</v>
      </c>
      <c r="D669" s="373" t="s">
        <v>3557</v>
      </c>
      <c r="E669" s="373" t="s">
        <v>1109</v>
      </c>
      <c r="F669" s="373" t="s">
        <v>3558</v>
      </c>
      <c r="G669" s="373" t="s">
        <v>3559</v>
      </c>
      <c r="H669" s="374" t="s">
        <v>175</v>
      </c>
      <c r="I669" s="373" t="s">
        <v>2102</v>
      </c>
      <c r="J669" s="373" t="s">
        <v>778</v>
      </c>
      <c r="K669" s="373" t="s">
        <v>614</v>
      </c>
      <c r="L669" s="373" t="s">
        <v>3419</v>
      </c>
      <c r="M669" s="376" t="s">
        <v>3560</v>
      </c>
      <c r="N669" s="47"/>
      <c r="O669" s="47"/>
      <c r="P669" s="72">
        <v>46100</v>
      </c>
      <c r="Q669" s="58">
        <f t="shared" si="16"/>
        <v>46387</v>
      </c>
      <c r="R669" s="47">
        <v>288</v>
      </c>
      <c r="S669" s="49"/>
      <c r="T669"/>
    </row>
    <row r="670" spans="2:20" s="24" customFormat="1" x14ac:dyDescent="0.4">
      <c r="B670" s="370" t="s">
        <v>605</v>
      </c>
      <c r="C670" s="371" t="s">
        <v>3561</v>
      </c>
      <c r="D670" s="373" t="s">
        <v>3562</v>
      </c>
      <c r="E670" s="373" t="s">
        <v>652</v>
      </c>
      <c r="F670" s="373" t="s">
        <v>3563</v>
      </c>
      <c r="G670" s="373" t="s">
        <v>3564</v>
      </c>
      <c r="H670" s="374" t="s">
        <v>3565</v>
      </c>
      <c r="I670" s="373" t="s">
        <v>720</v>
      </c>
      <c r="J670" s="373" t="s">
        <v>1033</v>
      </c>
      <c r="K670" s="375" t="s">
        <v>614</v>
      </c>
      <c r="L670" s="373" t="s">
        <v>3397</v>
      </c>
      <c r="M670" s="376" t="s">
        <v>3566</v>
      </c>
      <c r="N670" s="47"/>
      <c r="O670" s="47"/>
      <c r="P670" s="72">
        <v>46133</v>
      </c>
      <c r="Q670" s="58">
        <f t="shared" si="16"/>
        <v>46203</v>
      </c>
      <c r="R670" s="47">
        <v>71</v>
      </c>
      <c r="S670" s="49"/>
      <c r="T670"/>
    </row>
    <row r="671" spans="2:20" s="24" customFormat="1" x14ac:dyDescent="0.4">
      <c r="B671" s="370" t="s">
        <v>605</v>
      </c>
      <c r="C671" s="371" t="s">
        <v>1849</v>
      </c>
      <c r="D671" s="373" t="s">
        <v>969</v>
      </c>
      <c r="E671" s="373" t="s">
        <v>1850</v>
      </c>
      <c r="F671" s="373" t="s">
        <v>1851</v>
      </c>
      <c r="G671" s="373" t="s">
        <v>1852</v>
      </c>
      <c r="H671" s="374" t="s">
        <v>1853</v>
      </c>
      <c r="I671" s="373" t="s">
        <v>703</v>
      </c>
      <c r="J671" s="373" t="s">
        <v>664</v>
      </c>
      <c r="K671" s="373" t="s">
        <v>614</v>
      </c>
      <c r="L671" s="373" t="s">
        <v>3399</v>
      </c>
      <c r="M671" s="376" t="s">
        <v>3567</v>
      </c>
      <c r="N671" s="47"/>
      <c r="O671" s="47"/>
      <c r="P671" s="72">
        <v>46127</v>
      </c>
      <c r="Q671" s="58">
        <f t="shared" si="16"/>
        <v>46186</v>
      </c>
      <c r="R671" s="47">
        <v>60</v>
      </c>
      <c r="S671" s="49"/>
      <c r="T671"/>
    </row>
    <row r="672" spans="2:20" s="24" customFormat="1" x14ac:dyDescent="0.4">
      <c r="B672" s="370" t="s">
        <v>605</v>
      </c>
      <c r="C672" s="371"/>
      <c r="D672" s="373"/>
      <c r="E672" s="373"/>
      <c r="F672" s="373"/>
      <c r="G672" s="373"/>
      <c r="H672" s="374"/>
      <c r="I672" s="373"/>
      <c r="J672" s="373"/>
      <c r="K672" s="375"/>
      <c r="L672" s="373"/>
      <c r="M672" s="376"/>
      <c r="N672" s="47"/>
      <c r="O672" s="47"/>
      <c r="P672" s="72"/>
      <c r="Q672" s="58">
        <f t="shared" si="16"/>
        <v>-1</v>
      </c>
      <c r="R672" s="47"/>
      <c r="S672" s="49"/>
      <c r="T672"/>
    </row>
    <row r="673" spans="2:20" s="24" customFormat="1" x14ac:dyDescent="0.4">
      <c r="B673" s="370" t="s">
        <v>605</v>
      </c>
      <c r="C673" s="371"/>
      <c r="D673" s="373"/>
      <c r="E673" s="373"/>
      <c r="F673" s="373"/>
      <c r="G673" s="373"/>
      <c r="H673" s="374"/>
      <c r="I673" s="373"/>
      <c r="J673" s="373"/>
      <c r="K673" s="375"/>
      <c r="L673" s="373"/>
      <c r="M673" s="376"/>
      <c r="N673" s="47"/>
      <c r="O673" s="47"/>
      <c r="P673" s="72"/>
      <c r="Q673" s="58">
        <f t="shared" si="16"/>
        <v>-1</v>
      </c>
      <c r="R673" s="47"/>
      <c r="S673" s="49"/>
      <c r="T673"/>
    </row>
    <row r="674" spans="2:20" s="24" customFormat="1" x14ac:dyDescent="0.4">
      <c r="B674" s="370" t="s">
        <v>605</v>
      </c>
      <c r="C674" s="371"/>
      <c r="D674" s="373"/>
      <c r="E674" s="373"/>
      <c r="F674" s="373"/>
      <c r="G674" s="373"/>
      <c r="H674" s="374"/>
      <c r="I674" s="373"/>
      <c r="J674" s="373"/>
      <c r="K674" s="375"/>
      <c r="L674" s="373"/>
      <c r="M674" s="376"/>
      <c r="N674" s="47"/>
      <c r="O674" s="47"/>
      <c r="P674" s="72"/>
      <c r="Q674" s="58">
        <f t="shared" si="16"/>
        <v>-1</v>
      </c>
      <c r="R674" s="47"/>
      <c r="S674" s="49"/>
      <c r="T674"/>
    </row>
    <row r="675" spans="2:20" s="24" customFormat="1" x14ac:dyDescent="0.4">
      <c r="B675" s="384"/>
      <c r="C675" s="384"/>
      <c r="D675" s="384"/>
      <c r="E675" s="384"/>
      <c r="F675" s="384"/>
      <c r="G675" s="384"/>
      <c r="H675" s="384"/>
      <c r="I675" s="384"/>
      <c r="J675" s="384"/>
      <c r="K675" s="384"/>
      <c r="Q675" s="25"/>
      <c r="R675"/>
      <c r="S675"/>
      <c r="T675"/>
    </row>
    <row r="676" spans="2:20" s="24" customFormat="1" x14ac:dyDescent="0.4">
      <c r="B676" s="384"/>
      <c r="C676" s="384"/>
      <c r="D676" s="384"/>
      <c r="E676" s="384"/>
      <c r="F676" s="384"/>
      <c r="G676" s="384"/>
      <c r="H676" s="384"/>
      <c r="I676" s="384"/>
      <c r="J676" s="384"/>
      <c r="K676" s="384"/>
      <c r="Q676" s="25"/>
      <c r="R676"/>
      <c r="S676"/>
      <c r="T676"/>
    </row>
    <row r="677" spans="2:20" s="24" customFormat="1" x14ac:dyDescent="0.4">
      <c r="B677" s="384"/>
      <c r="C677" s="384"/>
      <c r="D677" s="384"/>
      <c r="E677" s="384"/>
      <c r="F677" s="384"/>
      <c r="G677" s="384"/>
      <c r="H677" s="384"/>
      <c r="I677" s="384"/>
      <c r="J677" s="384"/>
      <c r="K677" s="384"/>
      <c r="Q677" s="25"/>
      <c r="R677"/>
      <c r="S677"/>
      <c r="T677"/>
    </row>
    <row r="678" spans="2:20" s="24" customFormat="1" x14ac:dyDescent="0.4">
      <c r="B678" s="384"/>
      <c r="C678" s="384"/>
      <c r="D678" s="384"/>
      <c r="E678" s="384"/>
      <c r="F678" s="384"/>
      <c r="G678" s="384"/>
      <c r="H678" s="384"/>
      <c r="I678" s="384"/>
      <c r="J678" s="384"/>
      <c r="K678" s="384"/>
      <c r="Q678" s="25"/>
      <c r="R678"/>
      <c r="S678"/>
      <c r="T678"/>
    </row>
    <row r="679" spans="2:20" s="24" customFormat="1" x14ac:dyDescent="0.4">
      <c r="B679" s="384"/>
      <c r="C679" s="384"/>
      <c r="D679" s="384"/>
      <c r="E679" s="384"/>
      <c r="F679" s="384"/>
      <c r="G679" s="384"/>
      <c r="H679" s="384"/>
      <c r="I679" s="384"/>
      <c r="J679" s="384"/>
      <c r="K679" s="384"/>
      <c r="Q679" s="25"/>
      <c r="R679"/>
      <c r="S679"/>
      <c r="T679"/>
    </row>
    <row r="680" spans="2:20" s="24" customFormat="1" x14ac:dyDescent="0.4">
      <c r="B680" s="384"/>
      <c r="C680" s="384"/>
      <c r="D680" s="384"/>
      <c r="E680" s="384"/>
      <c r="F680" s="384"/>
      <c r="G680" s="384"/>
      <c r="H680" s="384"/>
      <c r="I680" s="384"/>
      <c r="J680" s="384"/>
      <c r="K680" s="384"/>
      <c r="Q680" s="25"/>
      <c r="R680"/>
      <c r="S680"/>
      <c r="T680"/>
    </row>
    <row r="681" spans="2:20" s="24" customFormat="1" x14ac:dyDescent="0.4">
      <c r="B681" s="384"/>
      <c r="C681" s="384"/>
      <c r="D681" s="384"/>
      <c r="E681" s="384"/>
      <c r="F681" s="384"/>
      <c r="G681" s="384"/>
      <c r="H681" s="384"/>
      <c r="I681" s="384"/>
      <c r="J681" s="384"/>
      <c r="K681" s="384"/>
      <c r="Q681" s="25"/>
      <c r="R681"/>
      <c r="S681"/>
      <c r="T681"/>
    </row>
    <row r="682" spans="2:20" s="24" customFormat="1" x14ac:dyDescent="0.4">
      <c r="B682" s="384"/>
      <c r="C682" s="384"/>
      <c r="D682" s="384"/>
      <c r="E682" s="384"/>
      <c r="F682" s="384"/>
      <c r="G682" s="384"/>
      <c r="H682" s="384"/>
      <c r="I682" s="384"/>
      <c r="J682" s="384"/>
      <c r="K682" s="384"/>
      <c r="Q682" s="25"/>
      <c r="R682"/>
      <c r="S682"/>
      <c r="T682"/>
    </row>
    <row r="683" spans="2:20" s="24" customFormat="1" x14ac:dyDescent="0.4">
      <c r="B683" s="384"/>
      <c r="C683" s="384"/>
      <c r="D683" s="384"/>
      <c r="E683" s="384"/>
      <c r="F683" s="384"/>
      <c r="G683" s="384"/>
      <c r="H683" s="384"/>
      <c r="I683" s="384"/>
      <c r="J683" s="384"/>
      <c r="K683" s="384"/>
      <c r="Q683" s="25"/>
      <c r="R683"/>
      <c r="S683"/>
      <c r="T683"/>
    </row>
    <row r="684" spans="2:20" s="24" customFormat="1" x14ac:dyDescent="0.4">
      <c r="B684" s="384"/>
      <c r="C684" s="384"/>
      <c r="D684" s="384"/>
      <c r="E684" s="384"/>
      <c r="F684" s="384"/>
      <c r="G684" s="384"/>
      <c r="H684" s="384"/>
      <c r="I684" s="384"/>
      <c r="J684" s="384"/>
      <c r="K684" s="384"/>
      <c r="Q684" s="25"/>
      <c r="R684"/>
      <c r="S684"/>
      <c r="T684"/>
    </row>
    <row r="685" spans="2:20" s="24" customFormat="1" x14ac:dyDescent="0.4">
      <c r="B685" s="384"/>
      <c r="C685" s="384"/>
      <c r="D685" s="384"/>
      <c r="E685" s="384"/>
      <c r="F685" s="384"/>
      <c r="G685" s="384"/>
      <c r="H685" s="384"/>
      <c r="I685" s="384"/>
      <c r="J685" s="384"/>
      <c r="K685" s="384"/>
      <c r="Q685" s="25"/>
      <c r="R685"/>
      <c r="S685"/>
      <c r="T685"/>
    </row>
    <row r="686" spans="2:20" s="24" customFormat="1" x14ac:dyDescent="0.4">
      <c r="B686" s="384"/>
      <c r="C686" s="384"/>
      <c r="D686" s="384"/>
      <c r="E686" s="384"/>
      <c r="F686" s="384"/>
      <c r="G686" s="384"/>
      <c r="H686" s="384"/>
      <c r="I686" s="384"/>
      <c r="J686" s="384"/>
      <c r="K686" s="384"/>
      <c r="Q686" s="25"/>
      <c r="R686"/>
      <c r="S686"/>
      <c r="T686"/>
    </row>
    <row r="687" spans="2:20" s="24" customFormat="1" x14ac:dyDescent="0.4">
      <c r="B687" s="384"/>
      <c r="C687" s="384"/>
      <c r="D687" s="384"/>
      <c r="E687" s="384"/>
      <c r="F687" s="384"/>
      <c r="G687" s="384"/>
      <c r="H687" s="384"/>
      <c r="I687" s="384"/>
      <c r="J687" s="384"/>
      <c r="K687" s="384"/>
      <c r="Q687" s="25"/>
      <c r="R687"/>
      <c r="S687"/>
      <c r="T687"/>
    </row>
    <row r="688" spans="2:20" s="24" customFormat="1" x14ac:dyDescent="0.4">
      <c r="B688" s="384"/>
      <c r="C688" s="384"/>
      <c r="D688" s="384"/>
      <c r="E688" s="384"/>
      <c r="F688" s="384"/>
      <c r="G688" s="384"/>
      <c r="H688" s="384"/>
      <c r="I688" s="384"/>
      <c r="J688" s="384"/>
      <c r="K688" s="384"/>
      <c r="Q688" s="25"/>
      <c r="R688"/>
      <c r="S688"/>
      <c r="T688"/>
    </row>
    <row r="689" spans="2:20" s="24" customFormat="1" x14ac:dyDescent="0.4">
      <c r="B689" s="384"/>
      <c r="C689" s="384"/>
      <c r="D689" s="384"/>
      <c r="E689" s="384"/>
      <c r="F689" s="384"/>
      <c r="G689" s="384"/>
      <c r="H689" s="384"/>
      <c r="I689" s="384"/>
      <c r="J689" s="384"/>
      <c r="K689" s="384"/>
      <c r="Q689" s="25"/>
      <c r="R689"/>
      <c r="S689"/>
      <c r="T689"/>
    </row>
    <row r="690" spans="2:20" s="24" customFormat="1" x14ac:dyDescent="0.4">
      <c r="B690" s="384"/>
      <c r="C690" s="384"/>
      <c r="D690" s="384"/>
      <c r="E690" s="384"/>
      <c r="F690" s="384"/>
      <c r="G690" s="384"/>
      <c r="H690" s="384"/>
      <c r="I690" s="384"/>
      <c r="J690" s="384"/>
      <c r="K690" s="384"/>
      <c r="Q690" s="25"/>
      <c r="R690"/>
      <c r="S690"/>
      <c r="T690"/>
    </row>
    <row r="691" spans="2:20" s="24" customFormat="1" x14ac:dyDescent="0.4">
      <c r="B691" s="384"/>
      <c r="C691" s="384"/>
      <c r="D691" s="384"/>
      <c r="E691" s="384"/>
      <c r="F691" s="384"/>
      <c r="G691" s="384"/>
      <c r="H691" s="384"/>
      <c r="I691" s="384"/>
      <c r="J691" s="384"/>
      <c r="K691" s="384"/>
      <c r="Q691" s="25"/>
      <c r="R691"/>
      <c r="S691"/>
      <c r="T691"/>
    </row>
    <row r="692" spans="2:20" s="24" customFormat="1" x14ac:dyDescent="0.4">
      <c r="B692" s="384"/>
      <c r="C692" s="384"/>
      <c r="D692" s="384"/>
      <c r="E692" s="384"/>
      <c r="F692" s="384"/>
      <c r="G692" s="384"/>
      <c r="H692" s="384"/>
      <c r="I692" s="384"/>
      <c r="J692" s="384"/>
      <c r="K692" s="384"/>
      <c r="Q692" s="25"/>
      <c r="R692"/>
      <c r="S692"/>
      <c r="T692"/>
    </row>
    <row r="693" spans="2:20" s="24" customFormat="1" x14ac:dyDescent="0.4">
      <c r="B693" s="384"/>
      <c r="C693" s="384"/>
      <c r="D693" s="384"/>
      <c r="E693" s="384"/>
      <c r="F693" s="384"/>
      <c r="G693" s="384"/>
      <c r="H693" s="384"/>
      <c r="I693" s="384"/>
      <c r="J693" s="384"/>
      <c r="K693" s="384"/>
      <c r="Q693" s="25"/>
      <c r="R693"/>
      <c r="S693"/>
      <c r="T693"/>
    </row>
    <row r="694" spans="2:20" s="24" customFormat="1" x14ac:dyDescent="0.4">
      <c r="B694" s="384"/>
      <c r="C694" s="384"/>
      <c r="D694" s="384"/>
      <c r="E694" s="384"/>
      <c r="F694" s="384"/>
      <c r="G694" s="384"/>
      <c r="H694" s="384"/>
      <c r="I694" s="384"/>
      <c r="J694" s="384"/>
      <c r="K694" s="384"/>
      <c r="Q694" s="25"/>
      <c r="R694"/>
      <c r="S694"/>
      <c r="T694"/>
    </row>
    <row r="695" spans="2:20" s="24" customFormat="1" x14ac:dyDescent="0.4">
      <c r="B695" s="384"/>
      <c r="C695" s="384"/>
      <c r="D695" s="384"/>
      <c r="E695" s="384"/>
      <c r="F695" s="384"/>
      <c r="G695" s="384"/>
      <c r="H695" s="384"/>
      <c r="I695" s="384"/>
      <c r="J695" s="384"/>
      <c r="K695" s="384"/>
      <c r="Q695" s="25"/>
      <c r="R695"/>
      <c r="S695"/>
      <c r="T695"/>
    </row>
    <row r="696" spans="2:20" s="24" customFormat="1" x14ac:dyDescent="0.4">
      <c r="B696" s="384"/>
      <c r="C696" s="384"/>
      <c r="D696" s="384"/>
      <c r="E696" s="384"/>
      <c r="F696" s="384"/>
      <c r="G696" s="384"/>
      <c r="H696" s="384"/>
      <c r="I696" s="384"/>
      <c r="J696" s="384"/>
      <c r="K696" s="384"/>
      <c r="Q696" s="25"/>
      <c r="R696"/>
      <c r="S696"/>
      <c r="T696"/>
    </row>
    <row r="697" spans="2:20" s="24" customFormat="1" x14ac:dyDescent="0.4">
      <c r="B697" s="384"/>
      <c r="C697" s="384"/>
      <c r="D697" s="384"/>
      <c r="E697" s="384"/>
      <c r="F697" s="384"/>
      <c r="G697" s="384"/>
      <c r="H697" s="384"/>
      <c r="I697" s="384"/>
      <c r="J697" s="384"/>
      <c r="K697" s="384"/>
      <c r="Q697" s="25"/>
      <c r="R697"/>
      <c r="S697"/>
      <c r="T697"/>
    </row>
    <row r="698" spans="2:20" s="24" customFormat="1" x14ac:dyDescent="0.4">
      <c r="B698" s="384"/>
      <c r="C698" s="384"/>
      <c r="D698" s="384"/>
      <c r="E698" s="384"/>
      <c r="F698" s="384"/>
      <c r="G698" s="384"/>
      <c r="H698" s="384"/>
      <c r="I698" s="384"/>
      <c r="J698" s="384"/>
      <c r="K698" s="384"/>
      <c r="Q698" s="25"/>
      <c r="R698"/>
      <c r="S698"/>
      <c r="T698"/>
    </row>
    <row r="699" spans="2:20" s="24" customFormat="1" x14ac:dyDescent="0.4">
      <c r="B699" s="384"/>
      <c r="C699" s="384"/>
      <c r="D699" s="384"/>
      <c r="E699" s="384"/>
      <c r="F699" s="384"/>
      <c r="G699" s="384"/>
      <c r="H699" s="384"/>
      <c r="I699" s="384"/>
      <c r="J699" s="384"/>
      <c r="K699" s="384"/>
      <c r="Q699" s="25"/>
      <c r="R699"/>
      <c r="S699"/>
      <c r="T699"/>
    </row>
    <row r="700" spans="2:20" s="24" customFormat="1" x14ac:dyDescent="0.4">
      <c r="B700" s="384"/>
      <c r="C700" s="384"/>
      <c r="D700" s="384"/>
      <c r="E700" s="384"/>
      <c r="F700" s="384"/>
      <c r="G700" s="384"/>
      <c r="H700" s="384"/>
      <c r="I700" s="384"/>
      <c r="J700" s="384"/>
      <c r="K700" s="384"/>
      <c r="Q700" s="25"/>
      <c r="R700"/>
      <c r="S700"/>
      <c r="T700"/>
    </row>
    <row r="701" spans="2:20" s="24" customFormat="1" x14ac:dyDescent="0.4">
      <c r="B701" s="384"/>
      <c r="C701" s="384"/>
      <c r="D701" s="384"/>
      <c r="E701" s="384"/>
      <c r="F701" s="384"/>
      <c r="G701" s="384"/>
      <c r="H701" s="384"/>
      <c r="I701" s="384"/>
      <c r="J701" s="384"/>
      <c r="K701" s="384"/>
      <c r="Q701" s="25"/>
      <c r="R701"/>
      <c r="S701"/>
      <c r="T701"/>
    </row>
    <row r="702" spans="2:20" s="24" customFormat="1" x14ac:dyDescent="0.4">
      <c r="B702" s="384"/>
      <c r="C702" s="384"/>
      <c r="D702" s="384"/>
      <c r="E702" s="384"/>
      <c r="F702" s="384"/>
      <c r="G702" s="384"/>
      <c r="H702" s="384"/>
      <c r="I702" s="384"/>
      <c r="J702" s="384"/>
      <c r="K702" s="384"/>
      <c r="Q702" s="25"/>
      <c r="R702"/>
      <c r="S702"/>
      <c r="T702"/>
    </row>
    <row r="703" spans="2:20" s="24" customFormat="1" x14ac:dyDescent="0.4">
      <c r="B703" s="384"/>
      <c r="C703" s="384"/>
      <c r="D703" s="384"/>
      <c r="E703" s="384"/>
      <c r="F703" s="384"/>
      <c r="G703" s="384"/>
      <c r="H703" s="384"/>
      <c r="I703" s="384"/>
      <c r="J703" s="384"/>
      <c r="K703" s="384"/>
      <c r="Q703" s="25"/>
      <c r="R703"/>
      <c r="S703"/>
      <c r="T703"/>
    </row>
    <row r="704" spans="2:20" s="24" customFormat="1" x14ac:dyDescent="0.4">
      <c r="B704" s="384"/>
      <c r="C704" s="384"/>
      <c r="D704" s="384"/>
      <c r="E704" s="384"/>
      <c r="F704" s="384"/>
      <c r="G704" s="384"/>
      <c r="H704" s="384"/>
      <c r="I704" s="384"/>
      <c r="J704" s="384"/>
      <c r="K704" s="384"/>
      <c r="Q704" s="25"/>
      <c r="R704"/>
      <c r="S704"/>
      <c r="T704"/>
    </row>
    <row r="705" spans="2:20" s="24" customFormat="1" x14ac:dyDescent="0.4">
      <c r="B705" s="384"/>
      <c r="C705" s="384"/>
      <c r="D705" s="384"/>
      <c r="E705" s="384"/>
      <c r="F705" s="384"/>
      <c r="G705" s="384"/>
      <c r="H705" s="384"/>
      <c r="I705" s="384"/>
      <c r="J705" s="384"/>
      <c r="K705" s="384"/>
      <c r="Q705" s="25"/>
      <c r="R705"/>
      <c r="S705"/>
      <c r="T705"/>
    </row>
    <row r="706" spans="2:20" s="24" customFormat="1" x14ac:dyDescent="0.4">
      <c r="B706" s="384"/>
      <c r="C706" s="384"/>
      <c r="D706" s="384"/>
      <c r="E706" s="384"/>
      <c r="F706" s="384"/>
      <c r="G706" s="384"/>
      <c r="H706" s="384"/>
      <c r="I706" s="384"/>
      <c r="J706" s="384"/>
      <c r="K706" s="384"/>
      <c r="Q706" s="25"/>
      <c r="R706"/>
      <c r="S706"/>
      <c r="T706"/>
    </row>
    <row r="707" spans="2:20" s="24" customFormat="1" x14ac:dyDescent="0.4">
      <c r="B707" s="384"/>
      <c r="C707" s="384"/>
      <c r="D707" s="384"/>
      <c r="E707" s="384"/>
      <c r="F707" s="384"/>
      <c r="G707" s="384"/>
      <c r="H707" s="384"/>
      <c r="I707" s="384"/>
      <c r="J707" s="384"/>
      <c r="K707" s="384"/>
      <c r="Q707" s="25"/>
      <c r="R707"/>
      <c r="S707"/>
      <c r="T707"/>
    </row>
    <row r="708" spans="2:20" s="24" customFormat="1" x14ac:dyDescent="0.4">
      <c r="B708" s="384"/>
      <c r="C708" s="384"/>
      <c r="D708" s="384"/>
      <c r="E708" s="384"/>
      <c r="F708" s="384"/>
      <c r="G708" s="384"/>
      <c r="H708" s="384"/>
      <c r="I708" s="384"/>
      <c r="J708" s="384"/>
      <c r="K708" s="384"/>
      <c r="Q708" s="25"/>
      <c r="R708"/>
      <c r="S708"/>
      <c r="T708"/>
    </row>
    <row r="709" spans="2:20" s="24" customFormat="1" x14ac:dyDescent="0.4">
      <c r="B709" s="384"/>
      <c r="C709" s="384"/>
      <c r="D709" s="384"/>
      <c r="E709" s="384"/>
      <c r="F709" s="384"/>
      <c r="G709" s="384"/>
      <c r="H709" s="384"/>
      <c r="I709" s="384"/>
      <c r="J709" s="384"/>
      <c r="K709" s="384"/>
      <c r="Q709" s="25"/>
      <c r="R709"/>
      <c r="S709"/>
      <c r="T709"/>
    </row>
    <row r="710" spans="2:20" s="24" customFormat="1" x14ac:dyDescent="0.4">
      <c r="B710" s="384"/>
      <c r="C710" s="384"/>
      <c r="D710" s="384"/>
      <c r="E710" s="384"/>
      <c r="F710" s="384"/>
      <c r="G710" s="384"/>
      <c r="H710" s="384"/>
      <c r="I710" s="384"/>
      <c r="J710" s="384"/>
      <c r="K710" s="384"/>
      <c r="Q710" s="25"/>
      <c r="R710"/>
      <c r="S710"/>
      <c r="T710"/>
    </row>
    <row r="711" spans="2:20" s="24" customFormat="1" x14ac:dyDescent="0.4">
      <c r="B711" s="384"/>
      <c r="C711" s="384"/>
      <c r="D711" s="384"/>
      <c r="E711" s="384"/>
      <c r="F711" s="384"/>
      <c r="G711" s="384"/>
      <c r="H711" s="384"/>
      <c r="I711" s="384"/>
      <c r="J711" s="384"/>
      <c r="K711" s="384"/>
      <c r="Q711" s="25"/>
      <c r="R711"/>
      <c r="S711"/>
      <c r="T711"/>
    </row>
    <row r="712" spans="2:20" s="24" customFormat="1" x14ac:dyDescent="0.4">
      <c r="B712" s="384"/>
      <c r="C712" s="384"/>
      <c r="D712" s="384"/>
      <c r="E712" s="384"/>
      <c r="F712" s="384"/>
      <c r="G712" s="384"/>
      <c r="H712" s="384"/>
      <c r="I712" s="384"/>
      <c r="J712" s="384"/>
      <c r="K712" s="384"/>
      <c r="Q712" s="25"/>
      <c r="R712"/>
      <c r="S712"/>
      <c r="T712"/>
    </row>
    <row r="713" spans="2:20" s="24" customFormat="1" x14ac:dyDescent="0.4">
      <c r="B713" s="384"/>
      <c r="C713" s="384"/>
      <c r="D713" s="384"/>
      <c r="E713" s="384"/>
      <c r="F713" s="384"/>
      <c r="G713" s="384"/>
      <c r="H713" s="384"/>
      <c r="I713" s="384"/>
      <c r="J713" s="384"/>
      <c r="K713" s="384"/>
      <c r="Q713" s="25"/>
      <c r="R713"/>
      <c r="S713"/>
      <c r="T713"/>
    </row>
    <row r="714" spans="2:20" s="24" customFormat="1" x14ac:dyDescent="0.4">
      <c r="B714" s="384"/>
      <c r="C714" s="384"/>
      <c r="D714" s="384"/>
      <c r="E714" s="384"/>
      <c r="F714" s="384"/>
      <c r="G714" s="384"/>
      <c r="H714" s="384"/>
      <c r="I714" s="384"/>
      <c r="J714" s="384"/>
      <c r="K714" s="384"/>
      <c r="Q714" s="25"/>
      <c r="R714"/>
      <c r="S714"/>
      <c r="T714"/>
    </row>
    <row r="715" spans="2:20" s="24" customFormat="1" x14ac:dyDescent="0.4">
      <c r="B715" s="384"/>
      <c r="C715" s="384"/>
      <c r="D715" s="384"/>
      <c r="E715" s="384"/>
      <c r="F715" s="384"/>
      <c r="G715" s="384"/>
      <c r="H715" s="384"/>
      <c r="I715" s="384"/>
      <c r="J715" s="384"/>
      <c r="K715" s="384"/>
      <c r="Q715" s="25"/>
      <c r="R715"/>
      <c r="S715"/>
      <c r="T715"/>
    </row>
    <row r="716" spans="2:20" s="24" customFormat="1" x14ac:dyDescent="0.4">
      <c r="B716" s="384"/>
      <c r="C716" s="384"/>
      <c r="D716" s="384"/>
      <c r="E716" s="384"/>
      <c r="F716" s="384"/>
      <c r="G716" s="384"/>
      <c r="H716" s="384"/>
      <c r="I716" s="384"/>
      <c r="J716" s="384"/>
      <c r="K716" s="384"/>
      <c r="Q716" s="25"/>
      <c r="R716"/>
      <c r="S716"/>
      <c r="T716"/>
    </row>
    <row r="717" spans="2:20" s="24" customFormat="1" x14ac:dyDescent="0.4">
      <c r="B717" s="384"/>
      <c r="C717" s="384"/>
      <c r="D717" s="384"/>
      <c r="E717" s="384"/>
      <c r="F717" s="384"/>
      <c r="G717" s="384"/>
      <c r="H717" s="384"/>
      <c r="I717" s="384"/>
      <c r="J717" s="384"/>
      <c r="K717" s="384"/>
      <c r="Q717" s="25"/>
      <c r="R717"/>
      <c r="S717"/>
      <c r="T717"/>
    </row>
    <row r="718" spans="2:20" s="24" customFormat="1" x14ac:dyDescent="0.4">
      <c r="B718" s="384"/>
      <c r="C718" s="384"/>
      <c r="D718" s="384"/>
      <c r="E718" s="384"/>
      <c r="F718" s="384"/>
      <c r="G718" s="384"/>
      <c r="H718" s="384"/>
      <c r="I718" s="384"/>
      <c r="J718" s="384"/>
      <c r="K718" s="384"/>
      <c r="Q718" s="25"/>
      <c r="R718"/>
      <c r="S718"/>
      <c r="T718"/>
    </row>
    <row r="719" spans="2:20" s="24" customFormat="1" x14ac:dyDescent="0.4">
      <c r="B719" s="384"/>
      <c r="C719" s="384"/>
      <c r="D719" s="384"/>
      <c r="E719" s="384"/>
      <c r="F719" s="384"/>
      <c r="G719" s="384"/>
      <c r="H719" s="384"/>
      <c r="I719" s="384"/>
      <c r="J719" s="384"/>
      <c r="K719" s="384"/>
      <c r="Q719" s="25"/>
      <c r="R719"/>
      <c r="S719"/>
      <c r="T719"/>
    </row>
    <row r="720" spans="2:20" s="24" customFormat="1" x14ac:dyDescent="0.4">
      <c r="B720" s="384"/>
      <c r="C720" s="384"/>
      <c r="D720" s="384"/>
      <c r="E720" s="384"/>
      <c r="F720" s="384"/>
      <c r="G720" s="384"/>
      <c r="H720" s="384"/>
      <c r="I720" s="384"/>
      <c r="J720" s="384"/>
      <c r="K720" s="384"/>
      <c r="Q720" s="25"/>
      <c r="R720"/>
      <c r="S720"/>
      <c r="T720"/>
    </row>
    <row r="721" spans="2:20" s="24" customFormat="1" x14ac:dyDescent="0.4">
      <c r="B721" s="384"/>
      <c r="C721" s="384"/>
      <c r="D721" s="384"/>
      <c r="E721" s="384"/>
      <c r="F721" s="384"/>
      <c r="G721" s="384"/>
      <c r="H721" s="384"/>
      <c r="I721" s="384"/>
      <c r="J721" s="384"/>
      <c r="K721" s="384"/>
      <c r="Q721" s="25"/>
      <c r="R721"/>
      <c r="S721"/>
      <c r="T721"/>
    </row>
    <row r="722" spans="2:20" s="24" customFormat="1" x14ac:dyDescent="0.4">
      <c r="B722" s="384"/>
      <c r="C722" s="384"/>
      <c r="D722" s="384"/>
      <c r="E722" s="384"/>
      <c r="F722" s="384"/>
      <c r="G722" s="384"/>
      <c r="H722" s="384"/>
      <c r="I722" s="384"/>
      <c r="J722" s="384"/>
      <c r="K722" s="384"/>
      <c r="Q722" s="25"/>
      <c r="R722"/>
      <c r="S722"/>
      <c r="T722"/>
    </row>
    <row r="723" spans="2:20" s="24" customFormat="1" x14ac:dyDescent="0.4">
      <c r="B723" s="384"/>
      <c r="C723" s="384"/>
      <c r="D723" s="384"/>
      <c r="E723" s="384"/>
      <c r="F723" s="384"/>
      <c r="G723" s="384"/>
      <c r="H723" s="384"/>
      <c r="I723" s="384"/>
      <c r="J723" s="384"/>
      <c r="K723" s="384"/>
      <c r="Q723" s="25"/>
      <c r="R723"/>
      <c r="S723"/>
      <c r="T723"/>
    </row>
    <row r="724" spans="2:20" s="24" customFormat="1" x14ac:dyDescent="0.4">
      <c r="B724" s="384"/>
      <c r="C724" s="384"/>
      <c r="D724" s="384"/>
      <c r="E724" s="384"/>
      <c r="F724" s="384"/>
      <c r="G724" s="384"/>
      <c r="H724" s="384"/>
      <c r="I724" s="384"/>
      <c r="J724" s="384"/>
      <c r="K724" s="384"/>
      <c r="Q724" s="25"/>
      <c r="R724"/>
      <c r="S724"/>
      <c r="T724"/>
    </row>
    <row r="725" spans="2:20" s="24" customFormat="1" x14ac:dyDescent="0.4">
      <c r="B725" s="384"/>
      <c r="C725" s="384"/>
      <c r="D725" s="384"/>
      <c r="E725" s="384"/>
      <c r="F725" s="384"/>
      <c r="G725" s="384"/>
      <c r="H725" s="384"/>
      <c r="I725" s="384"/>
      <c r="J725" s="384"/>
      <c r="K725" s="384"/>
      <c r="Q725" s="25"/>
      <c r="R725"/>
      <c r="S725"/>
      <c r="T725"/>
    </row>
    <row r="726" spans="2:20" s="24" customFormat="1" x14ac:dyDescent="0.4">
      <c r="B726" s="384"/>
      <c r="C726" s="384"/>
      <c r="D726" s="384"/>
      <c r="E726" s="384"/>
      <c r="F726" s="384"/>
      <c r="G726" s="384"/>
      <c r="H726" s="384"/>
      <c r="I726" s="384"/>
      <c r="J726" s="384"/>
      <c r="K726" s="384"/>
      <c r="Q726" s="25"/>
      <c r="R726"/>
      <c r="S726"/>
      <c r="T726"/>
    </row>
    <row r="727" spans="2:20" s="24" customFormat="1" x14ac:dyDescent="0.4">
      <c r="B727" s="384"/>
      <c r="C727" s="384"/>
      <c r="D727" s="384"/>
      <c r="E727" s="384"/>
      <c r="F727" s="384"/>
      <c r="G727" s="384"/>
      <c r="H727" s="384"/>
      <c r="I727" s="384"/>
      <c r="J727" s="384"/>
      <c r="K727" s="384"/>
      <c r="Q727" s="25"/>
      <c r="R727"/>
      <c r="S727"/>
      <c r="T727"/>
    </row>
    <row r="728" spans="2:20" s="24" customFormat="1" x14ac:dyDescent="0.4">
      <c r="B728" s="384"/>
      <c r="C728" s="384"/>
      <c r="D728" s="384"/>
      <c r="E728" s="384"/>
      <c r="F728" s="384"/>
      <c r="G728" s="384"/>
      <c r="H728" s="384"/>
      <c r="I728" s="384"/>
      <c r="J728" s="384"/>
      <c r="K728" s="384"/>
      <c r="Q728" s="25"/>
      <c r="R728"/>
      <c r="S728"/>
      <c r="T728"/>
    </row>
    <row r="729" spans="2:20" s="24" customFormat="1" x14ac:dyDescent="0.4">
      <c r="B729" s="384"/>
      <c r="C729" s="384"/>
      <c r="D729" s="384"/>
      <c r="E729" s="384"/>
      <c r="F729" s="384"/>
      <c r="G729" s="384"/>
      <c r="H729" s="384"/>
      <c r="I729" s="384"/>
      <c r="J729" s="384"/>
      <c r="K729" s="384"/>
      <c r="Q729" s="25"/>
      <c r="R729"/>
      <c r="S729"/>
      <c r="T729"/>
    </row>
    <row r="730" spans="2:20" s="24" customFormat="1" x14ac:dyDescent="0.4">
      <c r="B730" s="384"/>
      <c r="C730" s="384"/>
      <c r="D730" s="384"/>
      <c r="E730" s="384"/>
      <c r="F730" s="384"/>
      <c r="G730" s="384"/>
      <c r="H730" s="384"/>
      <c r="I730" s="384"/>
      <c r="J730" s="384"/>
      <c r="K730" s="384"/>
      <c r="Q730" s="25"/>
      <c r="R730"/>
      <c r="S730"/>
      <c r="T730"/>
    </row>
    <row r="731" spans="2:20" s="24" customFormat="1" x14ac:dyDescent="0.4">
      <c r="B731" s="384"/>
      <c r="C731" s="384"/>
      <c r="D731" s="384"/>
      <c r="E731" s="384"/>
      <c r="F731" s="384"/>
      <c r="G731" s="384"/>
      <c r="H731" s="384"/>
      <c r="I731" s="384"/>
      <c r="J731" s="384"/>
      <c r="K731" s="384"/>
      <c r="Q731" s="25"/>
      <c r="R731"/>
      <c r="S731"/>
      <c r="T731"/>
    </row>
    <row r="732" spans="2:20" s="24" customFormat="1" x14ac:dyDescent="0.4">
      <c r="B732" s="384"/>
      <c r="C732" s="384"/>
      <c r="D732" s="384"/>
      <c r="E732" s="384"/>
      <c r="F732" s="384"/>
      <c r="G732" s="384"/>
      <c r="H732" s="384"/>
      <c r="I732" s="384"/>
      <c r="J732" s="384"/>
      <c r="K732" s="384"/>
      <c r="Q732" s="25"/>
      <c r="R732"/>
      <c r="S732"/>
      <c r="T732"/>
    </row>
    <row r="733" spans="2:20" s="24" customFormat="1" x14ac:dyDescent="0.4">
      <c r="B733" s="384"/>
      <c r="C733" s="384"/>
      <c r="D733" s="384"/>
      <c r="E733" s="384"/>
      <c r="F733" s="384"/>
      <c r="G733" s="384"/>
      <c r="H733" s="384"/>
      <c r="I733" s="384"/>
      <c r="J733" s="384"/>
      <c r="K733" s="384"/>
      <c r="Q733" s="25"/>
      <c r="R733"/>
      <c r="S733"/>
      <c r="T733"/>
    </row>
    <row r="734" spans="2:20" s="24" customFormat="1" x14ac:dyDescent="0.4">
      <c r="B734" s="384"/>
      <c r="C734" s="384"/>
      <c r="D734" s="384"/>
      <c r="E734" s="384"/>
      <c r="F734" s="384"/>
      <c r="G734" s="384"/>
      <c r="H734" s="384"/>
      <c r="I734" s="384"/>
      <c r="J734" s="384"/>
      <c r="K734" s="384"/>
      <c r="Q734" s="25"/>
      <c r="R734"/>
      <c r="S734"/>
      <c r="T734"/>
    </row>
    <row r="735" spans="2:20" s="24" customFormat="1" x14ac:dyDescent="0.4">
      <c r="B735" s="384"/>
      <c r="C735" s="384"/>
      <c r="D735" s="384"/>
      <c r="E735" s="384"/>
      <c r="F735" s="384"/>
      <c r="G735" s="384"/>
      <c r="H735" s="384"/>
      <c r="I735" s="384"/>
      <c r="J735" s="384"/>
      <c r="K735" s="384"/>
      <c r="Q735" s="25"/>
      <c r="R735"/>
      <c r="S735"/>
      <c r="T735"/>
    </row>
    <row r="736" spans="2:20" s="24" customFormat="1" x14ac:dyDescent="0.4">
      <c r="B736" s="384"/>
      <c r="C736" s="384"/>
      <c r="D736" s="384"/>
      <c r="E736" s="384"/>
      <c r="F736" s="384"/>
      <c r="G736" s="384"/>
      <c r="H736" s="384"/>
      <c r="I736" s="384"/>
      <c r="J736" s="384"/>
      <c r="K736" s="384"/>
      <c r="Q736" s="25"/>
      <c r="R736"/>
      <c r="S736"/>
      <c r="T736"/>
    </row>
    <row r="737" spans="2:20" s="24" customFormat="1" x14ac:dyDescent="0.4">
      <c r="B737" s="384"/>
      <c r="C737" s="384"/>
      <c r="D737" s="384"/>
      <c r="E737" s="384"/>
      <c r="F737" s="384"/>
      <c r="G737" s="384"/>
      <c r="H737" s="384"/>
      <c r="I737" s="384"/>
      <c r="J737" s="384"/>
      <c r="K737" s="384"/>
      <c r="Q737" s="25"/>
      <c r="R737"/>
      <c r="S737"/>
      <c r="T737"/>
    </row>
    <row r="738" spans="2:20" s="24" customFormat="1" x14ac:dyDescent="0.4">
      <c r="B738" s="384"/>
      <c r="C738" s="384"/>
      <c r="D738" s="384"/>
      <c r="E738" s="384"/>
      <c r="F738" s="384"/>
      <c r="G738" s="384"/>
      <c r="H738" s="384"/>
      <c r="I738" s="384"/>
      <c r="J738" s="384"/>
      <c r="K738" s="384"/>
      <c r="Q738" s="25"/>
      <c r="R738"/>
      <c r="S738"/>
      <c r="T738"/>
    </row>
    <row r="739" spans="2:20" s="24" customFormat="1" x14ac:dyDescent="0.4">
      <c r="B739" s="384"/>
      <c r="C739" s="384"/>
      <c r="D739" s="384"/>
      <c r="E739" s="384"/>
      <c r="F739" s="384"/>
      <c r="G739" s="384"/>
      <c r="H739" s="384"/>
      <c r="I739" s="384"/>
      <c r="J739" s="384"/>
      <c r="K739" s="384"/>
      <c r="Q739" s="25"/>
      <c r="R739"/>
      <c r="S739"/>
      <c r="T739"/>
    </row>
    <row r="740" spans="2:20" s="24" customFormat="1" x14ac:dyDescent="0.4">
      <c r="B740" s="384"/>
      <c r="C740" s="384"/>
      <c r="D740" s="384"/>
      <c r="E740" s="384"/>
      <c r="F740" s="384"/>
      <c r="G740" s="384"/>
      <c r="H740" s="384"/>
      <c r="I740" s="384"/>
      <c r="J740" s="384"/>
      <c r="K740" s="384"/>
      <c r="Q740" s="25"/>
      <c r="R740"/>
      <c r="S740"/>
      <c r="T740"/>
    </row>
    <row r="741" spans="2:20" s="24" customFormat="1" x14ac:dyDescent="0.4">
      <c r="B741" s="384"/>
      <c r="C741" s="384"/>
      <c r="D741" s="384"/>
      <c r="E741" s="384"/>
      <c r="F741" s="384"/>
      <c r="G741" s="384"/>
      <c r="H741" s="384"/>
      <c r="I741" s="384"/>
      <c r="J741" s="384"/>
      <c r="K741" s="384"/>
      <c r="Q741" s="25"/>
      <c r="R741"/>
      <c r="S741"/>
      <c r="T741"/>
    </row>
    <row r="742" spans="2:20" s="24" customFormat="1" x14ac:dyDescent="0.4">
      <c r="B742" s="384"/>
      <c r="C742" s="384"/>
      <c r="D742" s="384"/>
      <c r="E742" s="384"/>
      <c r="F742" s="384"/>
      <c r="G742" s="384"/>
      <c r="H742" s="384"/>
      <c r="I742" s="384"/>
      <c r="J742" s="384"/>
      <c r="K742" s="384"/>
      <c r="Q742" s="25"/>
      <c r="R742"/>
      <c r="S742"/>
      <c r="T742"/>
    </row>
    <row r="743" spans="2:20" s="24" customFormat="1" x14ac:dyDescent="0.4">
      <c r="B743" s="384"/>
      <c r="C743" s="384"/>
      <c r="D743" s="384"/>
      <c r="E743" s="384"/>
      <c r="F743" s="384"/>
      <c r="G743" s="384"/>
      <c r="H743" s="384"/>
      <c r="I743" s="384"/>
      <c r="J743" s="384"/>
      <c r="K743" s="384"/>
      <c r="Q743" s="25"/>
      <c r="R743"/>
      <c r="S743"/>
      <c r="T743"/>
    </row>
    <row r="744" spans="2:20" s="24" customFormat="1" x14ac:dyDescent="0.4">
      <c r="B744" s="384"/>
      <c r="C744" s="384"/>
      <c r="D744" s="384"/>
      <c r="E744" s="384"/>
      <c r="F744" s="384"/>
      <c r="G744" s="384"/>
      <c r="H744" s="384"/>
      <c r="I744" s="384"/>
      <c r="J744" s="384"/>
      <c r="K744" s="384"/>
      <c r="Q744" s="25"/>
      <c r="R744"/>
      <c r="S744"/>
      <c r="T744"/>
    </row>
    <row r="745" spans="2:20" s="24" customFormat="1" x14ac:dyDescent="0.4">
      <c r="B745" s="384"/>
      <c r="C745" s="384"/>
      <c r="D745" s="384"/>
      <c r="E745" s="384"/>
      <c r="F745" s="384"/>
      <c r="G745" s="384"/>
      <c r="H745" s="384"/>
      <c r="I745" s="384"/>
      <c r="J745" s="384"/>
      <c r="K745" s="384"/>
      <c r="Q745" s="25"/>
      <c r="R745"/>
      <c r="S745"/>
      <c r="T745"/>
    </row>
    <row r="746" spans="2:20" s="24" customFormat="1" x14ac:dyDescent="0.4">
      <c r="B746" s="384"/>
      <c r="C746" s="384"/>
      <c r="D746" s="384"/>
      <c r="E746" s="384"/>
      <c r="F746" s="384"/>
      <c r="G746" s="384"/>
      <c r="H746" s="384"/>
      <c r="I746" s="384"/>
      <c r="J746" s="384"/>
      <c r="K746" s="384"/>
      <c r="Q746" s="25"/>
      <c r="R746"/>
      <c r="S746"/>
      <c r="T746"/>
    </row>
    <row r="747" spans="2:20" s="24" customFormat="1" x14ac:dyDescent="0.4">
      <c r="B747" s="384"/>
      <c r="C747" s="384"/>
      <c r="D747" s="384"/>
      <c r="E747" s="384"/>
      <c r="F747" s="384"/>
      <c r="G747" s="384"/>
      <c r="H747" s="384"/>
      <c r="I747" s="384"/>
      <c r="J747" s="384"/>
      <c r="K747" s="384"/>
      <c r="Q747" s="25"/>
      <c r="R747"/>
      <c r="S747"/>
      <c r="T747"/>
    </row>
    <row r="748" spans="2:20" s="24" customFormat="1" x14ac:dyDescent="0.4">
      <c r="B748" s="384"/>
      <c r="C748" s="384"/>
      <c r="D748" s="384"/>
      <c r="E748" s="384"/>
      <c r="F748" s="384"/>
      <c r="G748" s="384"/>
      <c r="H748" s="384"/>
      <c r="I748" s="384"/>
      <c r="J748" s="384"/>
      <c r="K748" s="384"/>
      <c r="Q748" s="25"/>
      <c r="R748"/>
      <c r="S748"/>
      <c r="T748"/>
    </row>
    <row r="749" spans="2:20" s="24" customFormat="1" x14ac:dyDescent="0.4">
      <c r="B749" s="384"/>
      <c r="C749" s="384"/>
      <c r="D749" s="384"/>
      <c r="E749" s="384"/>
      <c r="F749" s="384"/>
      <c r="G749" s="384"/>
      <c r="H749" s="384"/>
      <c r="I749" s="384"/>
      <c r="J749" s="384"/>
      <c r="K749" s="384"/>
      <c r="Q749" s="25"/>
      <c r="R749"/>
      <c r="S749"/>
      <c r="T749"/>
    </row>
    <row r="750" spans="2:20" s="24" customFormat="1" x14ac:dyDescent="0.4">
      <c r="B750" s="384"/>
      <c r="C750" s="384"/>
      <c r="D750" s="384"/>
      <c r="E750" s="384"/>
      <c r="F750" s="384"/>
      <c r="G750" s="384"/>
      <c r="H750" s="384"/>
      <c r="I750" s="384"/>
      <c r="J750" s="384"/>
      <c r="K750" s="384"/>
      <c r="Q750" s="25"/>
      <c r="R750"/>
      <c r="S750"/>
      <c r="T750"/>
    </row>
    <row r="751" spans="2:20" s="24" customFormat="1" x14ac:dyDescent="0.4">
      <c r="B751" s="384"/>
      <c r="C751" s="384"/>
      <c r="D751" s="384"/>
      <c r="E751" s="384"/>
      <c r="F751" s="384"/>
      <c r="G751" s="384"/>
      <c r="H751" s="384"/>
      <c r="I751" s="384"/>
      <c r="J751" s="384"/>
      <c r="K751" s="384"/>
      <c r="Q751" s="25"/>
      <c r="R751"/>
      <c r="S751"/>
      <c r="T751"/>
    </row>
    <row r="752" spans="2:20" s="24" customFormat="1" x14ac:dyDescent="0.4">
      <c r="B752" s="384"/>
      <c r="C752" s="384"/>
      <c r="D752" s="384"/>
      <c r="E752" s="384"/>
      <c r="F752" s="384"/>
      <c r="G752" s="384"/>
      <c r="H752" s="384"/>
      <c r="I752" s="384"/>
      <c r="J752" s="384"/>
      <c r="K752" s="384"/>
      <c r="Q752" s="25"/>
      <c r="R752"/>
      <c r="S752"/>
      <c r="T752"/>
    </row>
    <row r="753" spans="2:20" s="24" customFormat="1" x14ac:dyDescent="0.4">
      <c r="B753" s="384"/>
      <c r="C753" s="384"/>
      <c r="D753" s="384"/>
      <c r="E753" s="384"/>
      <c r="F753" s="384"/>
      <c r="G753" s="384"/>
      <c r="H753" s="384"/>
      <c r="I753" s="384"/>
      <c r="J753" s="384"/>
      <c r="K753" s="384"/>
      <c r="Q753" s="25"/>
      <c r="R753"/>
      <c r="S753"/>
      <c r="T753"/>
    </row>
    <row r="754" spans="2:20" s="24" customFormat="1" x14ac:dyDescent="0.4">
      <c r="B754" s="384"/>
      <c r="C754" s="384"/>
      <c r="D754" s="384"/>
      <c r="E754" s="384"/>
      <c r="F754" s="384"/>
      <c r="G754" s="384"/>
      <c r="H754" s="384"/>
      <c r="I754" s="384"/>
      <c r="J754" s="384"/>
      <c r="K754" s="384"/>
      <c r="Q754" s="25"/>
      <c r="R754"/>
      <c r="S754"/>
      <c r="T754"/>
    </row>
    <row r="755" spans="2:20" s="24" customFormat="1" x14ac:dyDescent="0.4">
      <c r="B755" s="384"/>
      <c r="C755" s="384"/>
      <c r="D755" s="384"/>
      <c r="E755" s="384"/>
      <c r="F755" s="384"/>
      <c r="G755" s="384"/>
      <c r="H755" s="384"/>
      <c r="I755" s="384"/>
      <c r="J755" s="384"/>
      <c r="K755" s="384"/>
      <c r="Q755" s="25"/>
      <c r="R755"/>
      <c r="S755"/>
      <c r="T755"/>
    </row>
    <row r="756" spans="2:20" s="24" customFormat="1" x14ac:dyDescent="0.4">
      <c r="B756" s="384"/>
      <c r="C756" s="384"/>
      <c r="D756" s="384"/>
      <c r="E756" s="384"/>
      <c r="F756" s="384"/>
      <c r="G756" s="384"/>
      <c r="H756" s="384"/>
      <c r="I756" s="384"/>
      <c r="J756" s="384"/>
      <c r="K756" s="384"/>
      <c r="Q756" s="25"/>
      <c r="R756"/>
      <c r="S756"/>
      <c r="T756"/>
    </row>
    <row r="757" spans="2:20" s="24" customFormat="1" x14ac:dyDescent="0.4">
      <c r="B757" s="384"/>
      <c r="C757" s="384"/>
      <c r="D757" s="384"/>
      <c r="E757" s="384"/>
      <c r="F757" s="384"/>
      <c r="G757" s="384"/>
      <c r="H757" s="384"/>
      <c r="I757" s="384"/>
      <c r="J757" s="384"/>
      <c r="K757" s="384"/>
      <c r="Q757" s="25"/>
      <c r="R757"/>
      <c r="S757"/>
      <c r="T757"/>
    </row>
    <row r="758" spans="2:20" s="24" customFormat="1" x14ac:dyDescent="0.4">
      <c r="B758" s="384"/>
      <c r="C758" s="384"/>
      <c r="D758" s="384"/>
      <c r="E758" s="384"/>
      <c r="F758" s="384"/>
      <c r="G758" s="384"/>
      <c r="H758" s="384"/>
      <c r="I758" s="384"/>
      <c r="J758" s="384"/>
      <c r="K758" s="384"/>
      <c r="Q758" s="25"/>
      <c r="R758"/>
      <c r="S758"/>
      <c r="T758"/>
    </row>
    <row r="759" spans="2:20" s="24" customFormat="1" x14ac:dyDescent="0.4">
      <c r="B759" s="384"/>
      <c r="C759" s="384"/>
      <c r="D759" s="384"/>
      <c r="E759" s="384"/>
      <c r="F759" s="384"/>
      <c r="G759" s="384"/>
      <c r="H759" s="384"/>
      <c r="I759" s="384"/>
      <c r="J759" s="384"/>
      <c r="K759" s="384"/>
      <c r="Q759" s="25"/>
      <c r="R759"/>
      <c r="S759"/>
      <c r="T759"/>
    </row>
    <row r="760" spans="2:20" s="24" customFormat="1" x14ac:dyDescent="0.4">
      <c r="B760" s="384"/>
      <c r="C760" s="384"/>
      <c r="D760" s="384"/>
      <c r="E760" s="384"/>
      <c r="F760" s="384"/>
      <c r="G760" s="384"/>
      <c r="H760" s="384"/>
      <c r="I760" s="384"/>
      <c r="J760" s="384"/>
      <c r="K760" s="384"/>
      <c r="Q760" s="25"/>
      <c r="R760"/>
      <c r="S760"/>
      <c r="T760"/>
    </row>
    <row r="761" spans="2:20" s="24" customFormat="1" x14ac:dyDescent="0.4">
      <c r="B761" s="384"/>
      <c r="C761" s="384"/>
      <c r="D761" s="384"/>
      <c r="E761" s="384"/>
      <c r="F761" s="384"/>
      <c r="G761" s="384"/>
      <c r="H761" s="384"/>
      <c r="I761" s="384"/>
      <c r="J761" s="384"/>
      <c r="K761" s="384"/>
      <c r="Q761" s="25"/>
      <c r="R761"/>
      <c r="S761"/>
      <c r="T761"/>
    </row>
    <row r="762" spans="2:20" s="24" customFormat="1" x14ac:dyDescent="0.4">
      <c r="B762" s="384"/>
      <c r="C762" s="384"/>
      <c r="D762" s="384"/>
      <c r="E762" s="384"/>
      <c r="F762" s="384"/>
      <c r="G762" s="384"/>
      <c r="H762" s="384"/>
      <c r="I762" s="384"/>
      <c r="J762" s="384"/>
      <c r="K762" s="384"/>
      <c r="Q762" s="25"/>
      <c r="R762"/>
      <c r="S762"/>
      <c r="T762"/>
    </row>
    <row r="763" spans="2:20" s="24" customFormat="1" x14ac:dyDescent="0.4">
      <c r="B763" s="384"/>
      <c r="C763" s="384"/>
      <c r="D763" s="384"/>
      <c r="E763" s="384"/>
      <c r="F763" s="384"/>
      <c r="G763" s="384"/>
      <c r="H763" s="384"/>
      <c r="I763" s="384"/>
      <c r="J763" s="384"/>
      <c r="K763" s="384"/>
      <c r="Q763" s="25"/>
      <c r="R763"/>
      <c r="S763"/>
      <c r="T763"/>
    </row>
    <row r="764" spans="2:20" s="24" customFormat="1" x14ac:dyDescent="0.4">
      <c r="B764" s="384"/>
      <c r="C764" s="384"/>
      <c r="D764" s="384"/>
      <c r="E764" s="384"/>
      <c r="F764" s="384"/>
      <c r="G764" s="384"/>
      <c r="H764" s="384"/>
      <c r="I764" s="384"/>
      <c r="J764" s="384"/>
      <c r="K764" s="384"/>
      <c r="Q764" s="25"/>
      <c r="R764"/>
      <c r="S764"/>
      <c r="T764"/>
    </row>
    <row r="765" spans="2:20" s="24" customFormat="1" x14ac:dyDescent="0.4">
      <c r="B765" s="384"/>
      <c r="C765" s="384"/>
      <c r="D765" s="384"/>
      <c r="E765" s="384"/>
      <c r="F765" s="384"/>
      <c r="G765" s="384"/>
      <c r="H765" s="384"/>
      <c r="I765" s="384"/>
      <c r="J765" s="384"/>
      <c r="K765" s="384"/>
      <c r="Q765" s="25"/>
      <c r="R765"/>
      <c r="S765"/>
      <c r="T765"/>
    </row>
    <row r="766" spans="2:20" s="24" customFormat="1" x14ac:dyDescent="0.4">
      <c r="B766" s="384"/>
      <c r="C766" s="384"/>
      <c r="D766" s="384"/>
      <c r="E766" s="384"/>
      <c r="F766" s="384"/>
      <c r="G766" s="384"/>
      <c r="H766" s="384"/>
      <c r="I766" s="384"/>
      <c r="J766" s="384"/>
      <c r="K766" s="384"/>
      <c r="Q766" s="25"/>
      <c r="R766"/>
      <c r="S766"/>
      <c r="T766"/>
    </row>
    <row r="767" spans="2:20" s="24" customFormat="1" x14ac:dyDescent="0.4">
      <c r="B767" s="384"/>
      <c r="C767" s="384"/>
      <c r="D767" s="384"/>
      <c r="E767" s="384"/>
      <c r="F767" s="384"/>
      <c r="G767" s="384"/>
      <c r="H767" s="384"/>
      <c r="I767" s="384"/>
      <c r="J767" s="384"/>
      <c r="K767" s="384"/>
      <c r="Q767" s="25"/>
      <c r="R767"/>
      <c r="S767"/>
      <c r="T767"/>
    </row>
    <row r="768" spans="2:20" s="24" customFormat="1" x14ac:dyDescent="0.4">
      <c r="B768" s="384"/>
      <c r="C768" s="384"/>
      <c r="D768" s="384"/>
      <c r="E768" s="384"/>
      <c r="F768" s="384"/>
      <c r="G768" s="384"/>
      <c r="H768" s="384"/>
      <c r="I768" s="384"/>
      <c r="J768" s="384"/>
      <c r="K768" s="384"/>
      <c r="Q768" s="25"/>
      <c r="R768"/>
      <c r="S768"/>
      <c r="T768"/>
    </row>
    <row r="769" spans="2:20" s="24" customFormat="1" x14ac:dyDescent="0.4">
      <c r="B769" s="384"/>
      <c r="C769" s="384"/>
      <c r="D769" s="384"/>
      <c r="E769" s="384"/>
      <c r="F769" s="384"/>
      <c r="G769" s="384"/>
      <c r="H769" s="384"/>
      <c r="I769" s="384"/>
      <c r="J769" s="384"/>
      <c r="K769" s="384"/>
      <c r="Q769" s="25"/>
      <c r="R769"/>
      <c r="S769"/>
      <c r="T769"/>
    </row>
    <row r="770" spans="2:20" s="24" customFormat="1" x14ac:dyDescent="0.4">
      <c r="B770" s="384"/>
      <c r="C770" s="384"/>
      <c r="D770" s="384"/>
      <c r="E770" s="384"/>
      <c r="F770" s="384"/>
      <c r="G770" s="384"/>
      <c r="H770" s="384"/>
      <c r="I770" s="384"/>
      <c r="J770" s="384"/>
      <c r="K770" s="384"/>
      <c r="Q770" s="25"/>
      <c r="R770"/>
      <c r="S770"/>
      <c r="T770"/>
    </row>
    <row r="771" spans="2:20" s="24" customFormat="1" x14ac:dyDescent="0.4">
      <c r="B771" s="384"/>
      <c r="C771" s="384"/>
      <c r="D771" s="384"/>
      <c r="E771" s="384"/>
      <c r="F771" s="384"/>
      <c r="G771" s="384"/>
      <c r="H771" s="384"/>
      <c r="I771" s="384"/>
      <c r="J771" s="384"/>
      <c r="K771" s="384"/>
      <c r="Q771" s="25"/>
      <c r="R771"/>
      <c r="S771"/>
      <c r="T771"/>
    </row>
    <row r="772" spans="2:20" s="24" customFormat="1" x14ac:dyDescent="0.4">
      <c r="B772" s="384"/>
      <c r="C772" s="384"/>
      <c r="D772" s="384"/>
      <c r="E772" s="384"/>
      <c r="F772" s="384"/>
      <c r="G772" s="384"/>
      <c r="H772" s="384"/>
      <c r="I772" s="384"/>
      <c r="J772" s="384"/>
      <c r="K772" s="384"/>
      <c r="Q772" s="25"/>
      <c r="R772"/>
      <c r="S772"/>
      <c r="T772"/>
    </row>
    <row r="773" spans="2:20" s="24" customFormat="1" x14ac:dyDescent="0.4">
      <c r="B773" s="384"/>
      <c r="C773" s="384"/>
      <c r="D773" s="384"/>
      <c r="E773" s="384"/>
      <c r="F773" s="384"/>
      <c r="G773" s="384"/>
      <c r="H773" s="384"/>
      <c r="I773" s="384"/>
      <c r="J773" s="384"/>
      <c r="K773" s="384"/>
      <c r="Q773" s="25"/>
      <c r="R773"/>
      <c r="S773"/>
      <c r="T773"/>
    </row>
    <row r="774" spans="2:20" s="24" customFormat="1" x14ac:dyDescent="0.4">
      <c r="B774" s="384"/>
      <c r="C774" s="384"/>
      <c r="D774" s="384"/>
      <c r="E774" s="384"/>
      <c r="F774" s="384"/>
      <c r="G774" s="384"/>
      <c r="H774" s="384"/>
      <c r="I774" s="384"/>
      <c r="J774" s="384"/>
      <c r="K774" s="384"/>
      <c r="Q774" s="25"/>
      <c r="R774"/>
      <c r="S774"/>
      <c r="T774"/>
    </row>
    <row r="775" spans="2:20" s="24" customFormat="1" x14ac:dyDescent="0.4">
      <c r="B775" s="384"/>
      <c r="C775" s="384"/>
      <c r="D775" s="384"/>
      <c r="E775" s="384"/>
      <c r="F775" s="384"/>
      <c r="G775" s="384"/>
      <c r="H775" s="384"/>
      <c r="I775" s="384"/>
      <c r="J775" s="384"/>
      <c r="K775" s="384"/>
      <c r="Q775" s="25"/>
      <c r="R775"/>
      <c r="S775"/>
      <c r="T775"/>
    </row>
    <row r="776" spans="2:20" s="24" customFormat="1" x14ac:dyDescent="0.4">
      <c r="B776" s="384"/>
      <c r="C776" s="384"/>
      <c r="D776" s="384"/>
      <c r="E776" s="384"/>
      <c r="F776" s="384"/>
      <c r="G776" s="384"/>
      <c r="H776" s="384"/>
      <c r="I776" s="384"/>
      <c r="J776" s="384"/>
      <c r="K776" s="384"/>
      <c r="Q776" s="25"/>
      <c r="R776"/>
      <c r="S776"/>
      <c r="T776"/>
    </row>
    <row r="777" spans="2:20" s="24" customFormat="1" x14ac:dyDescent="0.4">
      <c r="B777" s="384"/>
      <c r="C777" s="384"/>
      <c r="D777" s="384"/>
      <c r="E777" s="384"/>
      <c r="F777" s="384"/>
      <c r="G777" s="384"/>
      <c r="H777" s="384"/>
      <c r="I777" s="384"/>
      <c r="J777" s="384"/>
      <c r="K777" s="384"/>
      <c r="Q777" s="25"/>
      <c r="R777"/>
      <c r="S777"/>
      <c r="T777"/>
    </row>
    <row r="778" spans="2:20" s="24" customFormat="1" x14ac:dyDescent="0.4">
      <c r="B778" s="384"/>
      <c r="C778" s="384"/>
      <c r="D778" s="384"/>
      <c r="E778" s="384"/>
      <c r="F778" s="384"/>
      <c r="G778" s="384"/>
      <c r="H778" s="384"/>
      <c r="I778" s="384"/>
      <c r="J778" s="384"/>
      <c r="K778" s="384"/>
      <c r="Q778" s="25"/>
      <c r="R778"/>
      <c r="S778"/>
      <c r="T778"/>
    </row>
    <row r="779" spans="2:20" s="24" customFormat="1" x14ac:dyDescent="0.4">
      <c r="B779" s="384"/>
      <c r="C779" s="384"/>
      <c r="D779" s="384"/>
      <c r="E779" s="384"/>
      <c r="F779" s="384"/>
      <c r="G779" s="384"/>
      <c r="H779" s="384"/>
      <c r="I779" s="384"/>
      <c r="J779" s="384"/>
      <c r="K779" s="384"/>
      <c r="Q779" s="25"/>
      <c r="R779"/>
      <c r="S779"/>
      <c r="T779"/>
    </row>
    <row r="780" spans="2:20" s="24" customFormat="1" x14ac:dyDescent="0.4">
      <c r="B780" s="384"/>
      <c r="C780" s="384"/>
      <c r="D780" s="384"/>
      <c r="E780" s="384"/>
      <c r="F780" s="384"/>
      <c r="G780" s="384"/>
      <c r="H780" s="384"/>
      <c r="I780" s="384"/>
      <c r="J780" s="384"/>
      <c r="K780" s="384"/>
      <c r="Q780" s="25"/>
      <c r="R780"/>
      <c r="S780"/>
      <c r="T780"/>
    </row>
    <row r="781" spans="2:20" s="24" customFormat="1" x14ac:dyDescent="0.4">
      <c r="B781" s="384"/>
      <c r="C781" s="384"/>
      <c r="D781" s="384"/>
      <c r="E781" s="384"/>
      <c r="F781" s="384"/>
      <c r="G781" s="384"/>
      <c r="H781" s="384"/>
      <c r="I781" s="384"/>
      <c r="J781" s="384"/>
      <c r="K781" s="384"/>
      <c r="Q781" s="25"/>
      <c r="R781"/>
      <c r="S781"/>
      <c r="T781"/>
    </row>
    <row r="782" spans="2:20" s="24" customFormat="1" x14ac:dyDescent="0.4">
      <c r="B782" s="384"/>
      <c r="C782" s="384"/>
      <c r="D782" s="384"/>
      <c r="E782" s="384"/>
      <c r="F782" s="384"/>
      <c r="G782" s="384"/>
      <c r="H782" s="384"/>
      <c r="I782" s="384"/>
      <c r="J782" s="384"/>
      <c r="K782" s="384"/>
      <c r="Q782" s="25"/>
      <c r="R782"/>
      <c r="S782"/>
      <c r="T782"/>
    </row>
    <row r="783" spans="2:20" s="24" customFormat="1" x14ac:dyDescent="0.4">
      <c r="B783" s="384"/>
      <c r="C783" s="384"/>
      <c r="D783" s="384"/>
      <c r="E783" s="384"/>
      <c r="F783" s="384"/>
      <c r="G783" s="384"/>
      <c r="H783" s="384"/>
      <c r="I783" s="384"/>
      <c r="J783" s="384"/>
      <c r="K783" s="384"/>
      <c r="Q783" s="25"/>
      <c r="R783"/>
      <c r="S783"/>
      <c r="T783"/>
    </row>
    <row r="784" spans="2:20" s="24" customFormat="1" x14ac:dyDescent="0.4">
      <c r="B784" s="384"/>
      <c r="C784" s="384"/>
      <c r="D784" s="384"/>
      <c r="E784" s="384"/>
      <c r="F784" s="384"/>
      <c r="G784" s="384"/>
      <c r="H784" s="384"/>
      <c r="I784" s="384"/>
      <c r="J784" s="384"/>
      <c r="K784" s="384"/>
      <c r="Q784" s="25"/>
      <c r="R784"/>
      <c r="S784"/>
      <c r="T784"/>
    </row>
    <row r="785" spans="2:20" s="24" customFormat="1" x14ac:dyDescent="0.4">
      <c r="B785" s="384"/>
      <c r="C785" s="384"/>
      <c r="D785" s="384"/>
      <c r="E785" s="384"/>
      <c r="F785" s="384"/>
      <c r="G785" s="384"/>
      <c r="H785" s="384"/>
      <c r="I785" s="384"/>
      <c r="J785" s="384"/>
      <c r="K785" s="384"/>
      <c r="Q785" s="25"/>
      <c r="R785"/>
      <c r="S785"/>
      <c r="T785"/>
    </row>
    <row r="786" spans="2:20" s="24" customFormat="1" x14ac:dyDescent="0.4">
      <c r="B786" s="384"/>
      <c r="C786" s="384"/>
      <c r="D786" s="384"/>
      <c r="E786" s="384"/>
      <c r="F786" s="384"/>
      <c r="G786" s="384"/>
      <c r="H786" s="384"/>
      <c r="I786" s="384"/>
      <c r="J786" s="384"/>
      <c r="K786" s="384"/>
      <c r="Q786" s="25"/>
      <c r="R786"/>
      <c r="S786"/>
      <c r="T786"/>
    </row>
    <row r="787" spans="2:20" s="24" customFormat="1" x14ac:dyDescent="0.4">
      <c r="B787" s="384"/>
      <c r="C787" s="384"/>
      <c r="D787" s="384"/>
      <c r="E787" s="384"/>
      <c r="F787" s="384"/>
      <c r="G787" s="384"/>
      <c r="H787" s="384"/>
      <c r="I787" s="384"/>
      <c r="J787" s="384"/>
      <c r="K787" s="384"/>
      <c r="Q787" s="25"/>
      <c r="R787"/>
      <c r="S787"/>
      <c r="T787"/>
    </row>
    <row r="788" spans="2:20" s="24" customFormat="1" x14ac:dyDescent="0.4">
      <c r="B788" s="384"/>
      <c r="C788" s="384"/>
      <c r="D788" s="384"/>
      <c r="E788" s="384"/>
      <c r="F788" s="384"/>
      <c r="G788" s="384"/>
      <c r="H788" s="384"/>
      <c r="I788" s="384"/>
      <c r="J788" s="384"/>
      <c r="K788" s="384"/>
      <c r="Q788" s="25"/>
      <c r="R788"/>
      <c r="S788"/>
      <c r="T788"/>
    </row>
    <row r="789" spans="2:20" s="24" customFormat="1" x14ac:dyDescent="0.4">
      <c r="B789" s="384"/>
      <c r="C789" s="384"/>
      <c r="D789" s="384"/>
      <c r="E789" s="384"/>
      <c r="F789" s="384"/>
      <c r="G789" s="384"/>
      <c r="H789" s="384"/>
      <c r="I789" s="384"/>
      <c r="J789" s="384"/>
      <c r="K789" s="384"/>
      <c r="Q789" s="25"/>
      <c r="R789"/>
      <c r="S789"/>
      <c r="T789"/>
    </row>
    <row r="790" spans="2:20" s="24" customFormat="1" x14ac:dyDescent="0.4">
      <c r="B790" s="384"/>
      <c r="C790" s="384"/>
      <c r="D790" s="384"/>
      <c r="E790" s="384"/>
      <c r="F790" s="384"/>
      <c r="G790" s="384"/>
      <c r="H790" s="384"/>
      <c r="I790" s="384"/>
      <c r="J790" s="384"/>
      <c r="K790" s="384"/>
      <c r="Q790" s="25"/>
      <c r="R790"/>
      <c r="S790"/>
      <c r="T790"/>
    </row>
  </sheetData>
  <hyperlinks>
    <hyperlink ref="H166" r:id="rId1" xr:uid="{BDB170B2-55F0-4958-ABD3-1C36B724C090}"/>
    <hyperlink ref="H226" r:id="rId2" xr:uid="{9778C5F3-E1D6-4515-B36C-F9B9C3257A57}"/>
    <hyperlink ref="H161" r:id="rId3" xr:uid="{42C67974-0880-4954-B29F-F2EC051B2542}"/>
    <hyperlink ref="H386" r:id="rId4" xr:uid="{FC11C612-AB1B-4B8E-9F21-3207C5BF21F4}"/>
    <hyperlink ref="H379" r:id="rId5" xr:uid="{EE1D2A72-FA7C-4CA1-BA5B-79461B6C1420}"/>
    <hyperlink ref="H120" r:id="rId6" xr:uid="{93180876-06C2-4248-A6C5-48D18BCA1EA3}"/>
    <hyperlink ref="H278" r:id="rId7" xr:uid="{489C4634-F6DF-43E6-94CF-6C1E524AC107}"/>
    <hyperlink ref="H160" r:id="rId8" xr:uid="{72436AD5-96D0-4BA1-83A3-89514ADEFBDF}"/>
    <hyperlink ref="H169" r:id="rId9" xr:uid="{8DEBF875-1F52-44C8-9C7E-BC48BBB1CE0F}"/>
    <hyperlink ref="H498" r:id="rId10" xr:uid="{93960FF9-E51C-4BE0-9173-C2FF42987957}"/>
    <hyperlink ref="H341" r:id="rId11" xr:uid="{384888E0-6F3D-4747-9053-2AC372622E6B}"/>
    <hyperlink ref="H610" r:id="rId12" xr:uid="{89F23CCB-CA74-47BD-AE2D-870F869AFBE2}"/>
    <hyperlink ref="H28" r:id="rId13" xr:uid="{2CC394F1-12D7-4825-AC37-F488A5613DC1}"/>
    <hyperlink ref="H109" r:id="rId14" xr:uid="{510CDB93-9FA5-4DA9-A087-5368B520515E}"/>
    <hyperlink ref="H37" r:id="rId15" xr:uid="{AA40ECBA-ED0A-485E-B482-BC1234DE52C3}"/>
    <hyperlink ref="H582" r:id="rId16" xr:uid="{F46D4AAB-E856-4D8B-8509-AA1CE1DD1346}"/>
    <hyperlink ref="H500" r:id="rId17" xr:uid="{DEDBE222-2288-4C1D-BD43-F173948F3DE7}"/>
    <hyperlink ref="H540" r:id="rId18" xr:uid="{C2FAC447-B6D6-46D2-AEB7-9B7ED8B5EC9B}"/>
    <hyperlink ref="H414" r:id="rId19" xr:uid="{B2A58103-FAD8-4425-8A40-5E6D901215CF}"/>
    <hyperlink ref="H311" r:id="rId20" xr:uid="{E0998A36-F12E-40E0-A586-BBBD17416B2D}"/>
    <hyperlink ref="H82" r:id="rId21" xr:uid="{208C5275-773F-4D28-97A4-DC8455EFA307}"/>
    <hyperlink ref="H222" r:id="rId22" xr:uid="{08797ECD-2D4D-44B9-AB62-9978297E7C2D}"/>
    <hyperlink ref="H289" r:id="rId23" xr:uid="{E471ABC0-F91D-498B-866C-3736862D098B}"/>
    <hyperlink ref="S487" r:id="rId24" xr:uid="{FC4963D3-A52C-41F6-B2D5-8A2CD80DC8AD}"/>
    <hyperlink ref="H405" r:id="rId25" xr:uid="{DDB0E06D-835F-47E7-A0F6-59F65A3DE51B}"/>
    <hyperlink ref="H409" r:id="rId26" xr:uid="{7EB9B2EE-BA49-4D2E-A329-4F13CEF5BB1D}"/>
    <hyperlink ref="H304" r:id="rId27" xr:uid="{29781F69-35EB-4C98-87CD-7A93BC8E6C29}"/>
    <hyperlink ref="H452" r:id="rId28" xr:uid="{52519F1D-0B50-4984-AD1E-4197CC09E300}"/>
    <hyperlink ref="H364" r:id="rId29" xr:uid="{08FC02B6-BCC6-49BD-9782-BB2B4A194AC5}"/>
    <hyperlink ref="H402" r:id="rId30" xr:uid="{B8AF3603-2240-4930-AD0A-53B949DE043D}"/>
    <hyperlink ref="H139" r:id="rId31" xr:uid="{E33A4794-2380-42B0-A204-65B4A411199B}"/>
    <hyperlink ref="H293" r:id="rId32" xr:uid="{61D2CCEF-336A-434C-9C05-C3DF7370E2D9}"/>
    <hyperlink ref="H598" r:id="rId33" xr:uid="{D79102E7-C33E-4F89-8134-1C99BEF9391B}"/>
    <hyperlink ref="H389" r:id="rId34" xr:uid="{900FF0E7-66B4-4ED3-AEBE-147331BF1FBE}"/>
    <hyperlink ref="H602" r:id="rId35" xr:uid="{ECFFD3B0-E163-4AA1-A480-FB56C327BD7D}"/>
    <hyperlink ref="H94" r:id="rId36" xr:uid="{ED19A404-48CE-44E8-B87C-E1D46AC5FA56}"/>
    <hyperlink ref="H2" r:id="rId37" xr:uid="{99ACFEAD-462D-4CA1-97F0-5991C956BCEC}"/>
    <hyperlink ref="H207" r:id="rId38" xr:uid="{388F85CC-E097-482F-BE09-016E0946C967}"/>
    <hyperlink ref="H361" r:id="rId39" xr:uid="{76432DE6-BB8A-43DB-9F1B-100F89D84E2D}"/>
    <hyperlink ref="H185" r:id="rId40" xr:uid="{217CA860-78FE-4E0D-9880-50955F425EF7}"/>
    <hyperlink ref="H569" r:id="rId41" xr:uid="{7F73BE95-91DC-4A09-B4E9-76F4020A433A}"/>
    <hyperlink ref="H573" r:id="rId42" xr:uid="{9CDDFECA-AC77-442A-A0E9-7037734B2480}"/>
    <hyperlink ref="H572" r:id="rId43" xr:uid="{F0BAB872-D026-47CC-8E7F-301AF506FA95}"/>
    <hyperlink ref="H570" r:id="rId44" xr:uid="{E3AB0504-FCCA-437B-BCD1-F151B1A0866D}"/>
    <hyperlink ref="H574" r:id="rId45" xr:uid="{47EAE418-5717-4662-B0C9-B3B6E6EFA086}"/>
    <hyperlink ref="H333" r:id="rId46" xr:uid="{97758FDB-002D-4E96-A984-38D51467523E}"/>
    <hyperlink ref="H575" r:id="rId47" xr:uid="{C843C479-4231-48D2-8D8B-9EAFC4DFD604}"/>
    <hyperlink ref="H576" r:id="rId48" xr:uid="{B0A50D27-3EE3-45DD-B765-6ED20F72570B}"/>
    <hyperlink ref="H577" r:id="rId49" xr:uid="{FCC3A2D3-F306-40A3-AC9B-0711E84B5861}"/>
    <hyperlink ref="H578" r:id="rId50" xr:uid="{DAA9DD6C-33E3-478E-BCC8-DDFECD8F85AC}"/>
    <hyperlink ref="H344" r:id="rId51" xr:uid="{3E99C2DF-6F07-4583-9400-9FF26584EF1D}"/>
    <hyperlink ref="H148" r:id="rId52" xr:uid="{C12021C0-C111-485D-BE89-351A2773D961}"/>
    <hyperlink ref="H279" r:id="rId53" xr:uid="{94981BDA-4CA7-4618-BBB6-ABB21BE6DB93}"/>
    <hyperlink ref="H29" r:id="rId54" xr:uid="{72863913-7AE2-4A3C-AF43-564F217FB9A0}"/>
    <hyperlink ref="H36" r:id="rId55" xr:uid="{E7515A0D-1025-4321-BCF1-AC72944193FC}"/>
    <hyperlink ref="H65" r:id="rId56" xr:uid="{203677B5-F113-4A7E-93F7-7685779C2CE4}"/>
    <hyperlink ref="H241" r:id="rId57" xr:uid="{01932D29-B429-4283-88CE-768C12D12C92}"/>
    <hyperlink ref="H212" r:id="rId58" xr:uid="{9BEC31D1-3CC2-42BA-86ED-03F322B2E07D}"/>
    <hyperlink ref="H271" r:id="rId59" xr:uid="{F3D1D967-00EF-4231-9760-B7F70C0544A1}"/>
    <hyperlink ref="H6" r:id="rId60" xr:uid="{83CD1AF6-AFB6-4044-8BDB-5AABF24B2D8B}"/>
    <hyperlink ref="H191" r:id="rId61" xr:uid="{9A0548E2-DC3E-4E7A-8F3B-9D4A81DAA25F}"/>
    <hyperlink ref="H67" r:id="rId62" xr:uid="{000CD840-01B2-4E21-9C80-E0065A823458}"/>
    <hyperlink ref="H502" r:id="rId63" xr:uid="{B29770B3-BB29-4AE7-9035-4CA7DF1D84AE}"/>
    <hyperlink ref="H534" r:id="rId64" xr:uid="{86F011C6-F15B-4950-957C-F114FAD125AD}"/>
    <hyperlink ref="H531" r:id="rId65" xr:uid="{46A3E252-02CC-4E3D-9617-3CCEF68B0746}"/>
    <hyperlink ref="H519" r:id="rId66" xr:uid="{A472E7A1-B225-4B9E-917D-42B6A103F874}"/>
    <hyperlink ref="S491" r:id="rId67" xr:uid="{5541CB94-92E1-4884-B98D-0CFAC4D1F78B}"/>
    <hyperlink ref="H504" r:id="rId68" xr:uid="{115F54B6-D3F1-4490-AA19-8E0771EBE2C5}"/>
    <hyperlink ref="H505" r:id="rId69" xr:uid="{6BF89F07-3BB9-482A-A35B-857DC9F3D8C6}"/>
    <hyperlink ref="H87" r:id="rId70" xr:uid="{0947A0DC-E319-49C2-8047-BD44EFB79A94}"/>
    <hyperlink ref="H515" r:id="rId71" xr:uid="{B6BB8CDE-BFCD-4C55-9FDC-AF51DB69FA84}"/>
    <hyperlink ref="H536" r:id="rId72" xr:uid="{1A34B7B5-D458-4F70-BE97-2206E8792286}"/>
    <hyperlink ref="H509" r:id="rId73" xr:uid="{5965676E-1AF2-4ED2-BF4C-8A88C154D5E0}"/>
    <hyperlink ref="H510" r:id="rId74" xr:uid="{F8107F5F-A1D5-4A56-A781-F7A3DE9560E0}"/>
    <hyperlink ref="S485" r:id="rId75" xr:uid="{0EA43511-5D58-4AED-B1D4-FBD2CB50983F}"/>
    <hyperlink ref="H128" r:id="rId76" xr:uid="{1284ACFB-131D-4A9E-902F-7F434323C26B}"/>
    <hyperlink ref="H174" r:id="rId77" xr:uid="{08424D70-D67C-4136-8B72-3345A0C49174}"/>
    <hyperlink ref="H470" r:id="rId78" xr:uid="{0F598D6B-3AA3-4F68-A91B-CB3A3222B7CD}"/>
    <hyperlink ref="H68" r:id="rId79" xr:uid="{86836B5D-651B-4CFD-A063-99010CADE079}"/>
    <hyperlink ref="H583" r:id="rId80" xr:uid="{DEC4163E-E342-4421-B5E1-4179A4ABA65D}"/>
    <hyperlink ref="H499" r:id="rId81" display="bfmerino@pjud.cl" xr:uid="{E648921C-60CE-441B-9B33-4DC4ED7F9339}"/>
    <hyperlink ref="H541" r:id="rId82" xr:uid="{65EA2D72-A5FC-43F5-A82A-014BDDB661BE}"/>
    <hyperlink ref="H429" r:id="rId83" xr:uid="{5069F4D7-0F0E-4129-B61B-F4ED7094857E}"/>
    <hyperlink ref="H506" r:id="rId84" xr:uid="{BE65F0C1-4D8B-485F-A8E0-7181A466C713}"/>
    <hyperlink ref="H539" r:id="rId85" xr:uid="{371823F7-7D27-41E3-BE98-E5294473E46A}"/>
    <hyperlink ref="H619" r:id="rId86" xr:uid="{A52403EF-0D02-4952-BD96-B64D18E70626}"/>
    <hyperlink ref="H362" r:id="rId87" xr:uid="{BEBC1B4E-FD47-46E7-BC93-27455DA9AF82}"/>
    <hyperlink ref="H18" r:id="rId88" xr:uid="{CB499392-6FFB-4D4E-84E5-B909E03B21CC}"/>
    <hyperlink ref="H585" r:id="rId89" xr:uid="{8CB5B9EB-D517-4119-8E79-11D2FC235ABD}"/>
    <hyperlink ref="S490" r:id="rId90" xr:uid="{79CB8A0E-6DC6-44EC-ABB3-BF30F2854624}"/>
    <hyperlink ref="H520" r:id="rId91" xr:uid="{6DA681EC-5BD2-4B2A-AE7C-BFEFF750BD50}"/>
    <hyperlink ref="H621" r:id="rId92" xr:uid="{7E43F1D2-EBBC-4185-B30B-04422A17EE82}"/>
    <hyperlink ref="H283" r:id="rId93" xr:uid="{E682BA00-6483-4A79-A2DB-753BBD875E0C}"/>
    <hyperlink ref="H71" r:id="rId94" xr:uid="{A87C9254-D2B7-4A4B-8D75-C415A1F2F053}"/>
    <hyperlink ref="H511" r:id="rId95" xr:uid="{53A74E0A-3675-4DB4-8596-565CFE3F4B9D}"/>
    <hyperlink ref="H390" r:id="rId96" xr:uid="{CA592BE4-1AED-4181-8D61-8CBF7589D765}"/>
    <hyperlink ref="H114" r:id="rId97" xr:uid="{F3EA70E3-49F9-44A8-BC7C-B4303F68C495}"/>
    <hyperlink ref="H154" r:id="rId98" xr:uid="{2C1220BB-2610-45AE-A90F-2D7C1AB84278}"/>
    <hyperlink ref="H231" r:id="rId99" xr:uid="{0FA843D4-DAB6-4023-AA7B-3FD08E04CB04}"/>
    <hyperlink ref="H100" r:id="rId100" xr:uid="{4026C3E9-A120-49F4-BB07-12FCF2395251}"/>
    <hyperlink ref="H66" r:id="rId101" xr:uid="{61953984-65BB-4E6A-9E9B-C8D738BF7583}"/>
    <hyperlink ref="H375" r:id="rId102" xr:uid="{A0562F06-4A07-452D-A9D5-53EFACC1BB50}"/>
    <hyperlink ref="H153" r:id="rId103" xr:uid="{C814FB0D-60B8-40BB-8DC2-50E0E65AAE26}"/>
    <hyperlink ref="H86" r:id="rId104" xr:uid="{A79C9106-8668-41A2-9CDE-383F18F591F2}"/>
    <hyperlink ref="H546" r:id="rId105" xr:uid="{CF95565C-3521-471B-8637-09917BF020B0}"/>
    <hyperlink ref="H545" r:id="rId106" xr:uid="{DECF9768-349E-42B3-A379-F8D3DAE121D1}"/>
    <hyperlink ref="H547" r:id="rId107" xr:uid="{EC0930E7-88B3-4B39-A982-0383E18A0E81}"/>
    <hyperlink ref="H495" r:id="rId108" xr:uid="{B271CF7E-B820-49DB-A831-1AB4AE827F32}"/>
    <hyperlink ref="H607" r:id="rId109" xr:uid="{7539EA69-3A10-4A08-9AE6-400415474B7A}"/>
    <hyperlink ref="H464" r:id="rId110" xr:uid="{4DB2DBCC-30C0-4738-8380-60D105683278}"/>
    <hyperlink ref="H549" r:id="rId111" xr:uid="{77DDB2B7-5B59-4FCA-B590-966B9EF79F86}"/>
    <hyperlink ref="H623" r:id="rId112" xr:uid="{1D53E9B8-29FD-48D3-B729-9C84AD7DCE80}"/>
    <hyperlink ref="H624" r:id="rId113" xr:uid="{5085C5E1-2945-4071-8758-9C47AAFA0B27}"/>
    <hyperlink ref="H625" r:id="rId114" xr:uid="{74D60E23-5E2A-48E7-9C0A-F879EB8CBD7B}"/>
    <hyperlink ref="H353" r:id="rId115" xr:uid="{5FF1B911-1308-4582-9E7B-B541C8076CBF}"/>
    <hyperlink ref="H618" r:id="rId116" xr:uid="{6741DAA6-7CB5-4768-AB06-4CAF1361D5F3}"/>
    <hyperlink ref="H617" r:id="rId117" xr:uid="{ADB1C4BC-A55F-4F99-A15C-2E5B77BA48D8}"/>
    <hyperlink ref="H236" r:id="rId118" xr:uid="{1ADD312B-D95D-417D-BA30-51F396BC1AEA}"/>
    <hyperlink ref="H211" r:id="rId119" xr:uid="{6F5ECD15-95BE-4E17-A939-2D4998EBC99C}"/>
    <hyperlink ref="H455" r:id="rId120" xr:uid="{7CFC60A6-50F7-471F-9A8D-62199557BB22}"/>
    <hyperlink ref="H240" r:id="rId121" xr:uid="{6121F6BC-04B4-406A-A7E9-FE6A3322FA77}"/>
    <hyperlink ref="H401" r:id="rId122" xr:uid="{0B43D812-4E16-44A5-8CC4-A153712430E7}"/>
    <hyperlink ref="H516" r:id="rId123" xr:uid="{65C7806A-6692-4EA2-909D-726EF3477309}"/>
    <hyperlink ref="H550" r:id="rId124" xr:uid="{05AA7286-9B21-4639-8E99-478E4C3E2A3F}"/>
    <hyperlink ref="H527" r:id="rId125" display="cberriosp@pjud.cl" xr:uid="{832F000F-9A9D-4F83-BCDB-1DEE791FEF28}"/>
    <hyperlink ref="H548" r:id="rId126" xr:uid="{DB1816CF-1E20-40C5-AE7A-85FD36565A27}"/>
    <hyperlink ref="H627" r:id="rId127" xr:uid="{DC7EF83B-550A-4C57-B9D8-47E33E0BDA55}"/>
    <hyperlink ref="H398" r:id="rId128" xr:uid="{925F2948-4C57-4ED2-ADFD-CC89E75C7B43}"/>
    <hyperlink ref="H564" r:id="rId129" xr:uid="{805FB003-FAD6-4FF9-927E-B3A575FCB177}"/>
    <hyperlink ref="H183" r:id="rId130" xr:uid="{05FD7565-E85F-45FF-A9D4-D1396A1BBCAF}"/>
    <hyperlink ref="H626" r:id="rId131" xr:uid="{758E03B3-E6A9-447A-A513-672A55C6DE2E}"/>
    <hyperlink ref="H622" r:id="rId132" xr:uid="{755B76E4-19F0-4D66-936E-1CB02C60984A}"/>
    <hyperlink ref="H633" r:id="rId133" xr:uid="{8500C98B-559D-48BC-BE57-DAE8006BF6A0}"/>
    <hyperlink ref="H517" r:id="rId134" xr:uid="{D0F64317-1A6D-4FFC-BC6B-899CB1D2C9EC}"/>
    <hyperlink ref="H530" r:id="rId135" xr:uid="{ECCC010A-CAB4-4E09-9C9F-BAD54406443B}"/>
    <hyperlink ref="H508" r:id="rId136" xr:uid="{D663F698-8739-4DC0-9E18-17220F2625C3}"/>
    <hyperlink ref="H553" r:id="rId137" xr:uid="{2A6ABBEE-1723-4BD6-9223-E1757A89D760}"/>
    <hyperlink ref="H538" r:id="rId138" xr:uid="{76F1E404-95E9-4E87-8C33-B0F4A89AF7C9}"/>
    <hyperlink ref="H533" r:id="rId139" xr:uid="{0CF31C44-7B55-48A6-BF50-D6620BF54D9C}"/>
    <hyperlink ref="H521" r:id="rId140" xr:uid="{C51EB418-2093-4CB1-9C6D-073154365203}"/>
    <hyperlink ref="H544" r:id="rId141" xr:uid="{A610FB63-488A-4340-872E-E118546FC90F}"/>
    <hyperlink ref="H522" r:id="rId142" xr:uid="{9316E08A-48E8-4F46-9918-79C25CC661F3}"/>
    <hyperlink ref="H634" r:id="rId143" xr:uid="{CDACA760-CA6B-4DE5-8907-77AF3FA5A921}"/>
    <hyperlink ref="H636" r:id="rId144" xr:uid="{C18C3EE0-E8E3-450E-B479-3076CC96C4C4}"/>
    <hyperlink ref="H629" r:id="rId145" xr:uid="{7D18350A-5EF0-48F6-926A-624708CEE131}"/>
    <hyperlink ref="H637" r:id="rId146" xr:uid="{866F4558-8E3B-4BA6-8AF3-C92FFCA4FAE5}"/>
    <hyperlink ref="H638" r:id="rId147" xr:uid="{0EF8083A-E1A5-4CD3-BE62-DDCB8C443D32}"/>
    <hyperlink ref="H639" r:id="rId148" xr:uid="{24A866A4-2A82-49CA-8861-B53171806095}"/>
    <hyperlink ref="H640" r:id="rId149" xr:uid="{96AAD352-7853-4AF1-853E-C896B1392104}"/>
    <hyperlink ref="H643" r:id="rId150" xr:uid="{D25CC750-2955-443D-AC34-3FB9C24A5F1B}"/>
    <hyperlink ref="H615" r:id="rId151" xr:uid="{B186D16B-91FE-4017-AAD6-7D2C6380895D}"/>
    <hyperlink ref="H292" r:id="rId152" xr:uid="{5EEFC588-9B45-4A1D-9BEC-D2A192AAD960}"/>
    <hyperlink ref="H644" r:id="rId153" xr:uid="{3E279A7E-564E-4BD1-A8C4-45229F580768}"/>
    <hyperlink ref="H646" r:id="rId154" xr:uid="{822B6D78-FFAF-4F4D-82B2-3D4EC5B60BA5}"/>
    <hyperlink ref="H554" r:id="rId155" xr:uid="{CC151BB5-A0C0-4692-BC21-44E5E8FD4340}"/>
    <hyperlink ref="H650" r:id="rId156" xr:uid="{8F71166B-9EEE-4DCC-8DA8-3F49841C47C4}"/>
    <hyperlink ref="H651" r:id="rId157" xr:uid="{E8531448-DC2D-40DC-A917-F6EA14086BCB}"/>
    <hyperlink ref="H652" r:id="rId158" xr:uid="{61680DFF-3B88-4D7B-9812-D7E9FBB52BC0}"/>
    <hyperlink ref="H654" r:id="rId159" xr:uid="{22C312F5-6552-4FE9-A7BB-B6D9BF3E56FD}"/>
    <hyperlink ref="H566" r:id="rId160" xr:uid="{C8C16126-C9BC-40FE-BE79-79E369BD1A11}"/>
    <hyperlink ref="H655" r:id="rId161" xr:uid="{22CCB16A-5EA1-4334-B9E5-2829D8BBEB4D}"/>
    <hyperlink ref="H656" r:id="rId162" xr:uid="{DC3603D1-0AAE-4242-BAFC-FA61894B1A42}"/>
    <hyperlink ref="H552" r:id="rId163" xr:uid="{D871B76B-134C-490C-A457-952B00E17F15}"/>
    <hyperlink ref="H659" r:id="rId164" xr:uid="{344C0B57-7D0C-427D-85E0-109ABBE4CC7C}"/>
    <hyperlink ref="H628" r:id="rId165" xr:uid="{845EEA85-2F60-4C71-9F90-3592A61AA5FF}"/>
    <hyperlink ref="H661" r:id="rId166" xr:uid="{FD685151-0250-4E38-A7E2-950725956737}"/>
    <hyperlink ref="H668" r:id="rId167" xr:uid="{088F10A0-73D4-4A5F-A3CB-A8759CFCD544}"/>
    <hyperlink ref="H669" r:id="rId168" xr:uid="{0D0AA35B-04B3-4A9C-B1BB-F137A9C34E5E}"/>
    <hyperlink ref="H660" r:id="rId169" xr:uid="{0D790247-215F-402A-A526-6308B9211D48}"/>
    <hyperlink ref="H158" r:id="rId170" xr:uid="{0AC14E18-FBC1-464D-A775-7889101B099E}"/>
    <hyperlink ref="H261" r:id="rId171" xr:uid="{9FF14629-61C8-4FE5-B93E-9BABED930ED1}"/>
    <hyperlink ref="H450" r:id="rId172" xr:uid="{58EE4A62-D96E-43CF-A9A1-73EF74947201}"/>
    <hyperlink ref="H90" r:id="rId173" xr:uid="{38515933-BC02-47A5-BC04-DF9A4ACBD512}"/>
    <hyperlink ref="H542" r:id="rId174" xr:uid="{FDBF19AD-5AF0-4080-911E-E343E199956F}"/>
    <hyperlink ref="H543" r:id="rId175" xr:uid="{3F93DFE8-4548-41DA-BEDA-6E13D163B526}"/>
    <hyperlink ref="H670" r:id="rId176" xr:uid="{221D1177-CBE1-4DDB-ABBF-DD15166A3AEC}"/>
  </hyperlinks>
  <pageMargins left="0.7" right="0.7" top="0.75" bottom="0.75" header="0.3" footer="0.3"/>
  <legacyDrawing r:id="rId17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F6528-B7CD-40A1-9CDD-76DA3999F8F5}">
  <dimension ref="A2:M30"/>
  <sheetViews>
    <sheetView tabSelected="1" workbookViewId="0">
      <selection activeCell="E34" sqref="E34"/>
    </sheetView>
  </sheetViews>
  <sheetFormatPr baseColWidth="10" defaultRowHeight="14.6" x14ac:dyDescent="0.4"/>
  <cols>
    <col min="1" max="1" width="8.4609375" style="24" customWidth="1"/>
    <col min="2" max="2" width="13.53515625" style="24" customWidth="1"/>
    <col min="3" max="3" width="9.53515625" style="24" customWidth="1"/>
    <col min="4" max="4" width="48.53515625" customWidth="1"/>
    <col min="5" max="5" width="24.69140625" customWidth="1"/>
    <col min="6" max="6" width="32" style="24" customWidth="1"/>
    <col min="7" max="8" width="11.3046875" style="24" customWidth="1"/>
    <col min="9" max="9" width="12" style="24" customWidth="1"/>
    <col min="10" max="11" width="11.3046875" style="24" customWidth="1"/>
    <col min="12" max="12" width="13.07421875" style="24" customWidth="1"/>
    <col min="13" max="13" width="25.53515625" bestFit="1" customWidth="1"/>
  </cols>
  <sheetData>
    <row r="2" spans="1:13" x14ac:dyDescent="0.4">
      <c r="A2" s="33" t="s">
        <v>3568</v>
      </c>
      <c r="B2" s="33" t="s">
        <v>247</v>
      </c>
      <c r="C2" s="33" t="s">
        <v>3569</v>
      </c>
      <c r="D2" s="386" t="s">
        <v>595</v>
      </c>
      <c r="E2" s="386" t="s">
        <v>3570</v>
      </c>
      <c r="F2" s="24" t="s">
        <v>3571</v>
      </c>
      <c r="G2" s="24" t="s">
        <v>3572</v>
      </c>
      <c r="H2" s="24" t="s">
        <v>3573</v>
      </c>
      <c r="I2" s="24" t="s">
        <v>3574</v>
      </c>
      <c r="J2" s="24" t="s">
        <v>3575</v>
      </c>
      <c r="K2" s="24" t="s">
        <v>3576</v>
      </c>
      <c r="L2" s="24" t="s">
        <v>3577</v>
      </c>
      <c r="M2" s="24" t="s">
        <v>3578</v>
      </c>
    </row>
    <row r="3" spans="1:13" x14ac:dyDescent="0.4">
      <c r="A3" s="387">
        <v>1</v>
      </c>
      <c r="B3" s="387" t="s">
        <v>3579</v>
      </c>
      <c r="C3" s="387">
        <v>20</v>
      </c>
      <c r="D3" s="388" t="s">
        <v>3580</v>
      </c>
      <c r="E3" s="388" t="s">
        <v>3581</v>
      </c>
      <c r="F3" s="389" t="s">
        <v>3582</v>
      </c>
      <c r="G3" s="24" t="s">
        <v>3583</v>
      </c>
      <c r="M3" s="24"/>
    </row>
    <row r="4" spans="1:13" x14ac:dyDescent="0.4">
      <c r="A4" s="387">
        <v>2</v>
      </c>
      <c r="B4" s="387" t="s">
        <v>3584</v>
      </c>
      <c r="C4" s="387">
        <v>21</v>
      </c>
      <c r="D4" s="388" t="s">
        <v>3585</v>
      </c>
      <c r="E4" s="388" t="s">
        <v>3586</v>
      </c>
      <c r="F4" s="389" t="s">
        <v>3587</v>
      </c>
      <c r="G4" s="24" t="s">
        <v>3583</v>
      </c>
      <c r="M4" s="24"/>
    </row>
    <row r="5" spans="1:13" x14ac:dyDescent="0.4">
      <c r="A5" s="33">
        <v>3</v>
      </c>
      <c r="B5" s="33" t="s">
        <v>3588</v>
      </c>
      <c r="C5" s="387">
        <v>22</v>
      </c>
      <c r="D5" s="388" t="s">
        <v>3589</v>
      </c>
      <c r="E5" s="388" t="s">
        <v>3590</v>
      </c>
      <c r="F5" s="389" t="s">
        <v>3591</v>
      </c>
      <c r="G5" s="24" t="s">
        <v>3583</v>
      </c>
      <c r="M5" s="24" t="s">
        <v>3592</v>
      </c>
    </row>
    <row r="6" spans="1:13" x14ac:dyDescent="0.4">
      <c r="A6" s="387">
        <v>4</v>
      </c>
      <c r="B6" s="387" t="s">
        <v>3593</v>
      </c>
      <c r="C6" s="387">
        <v>23</v>
      </c>
      <c r="D6" s="388" t="s">
        <v>3594</v>
      </c>
      <c r="E6" s="388" t="s">
        <v>3595</v>
      </c>
      <c r="F6" s="389" t="s">
        <v>3596</v>
      </c>
      <c r="G6" s="24" t="s">
        <v>3583</v>
      </c>
      <c r="M6" s="24"/>
    </row>
    <row r="7" spans="1:13" x14ac:dyDescent="0.4">
      <c r="A7" s="387">
        <v>5</v>
      </c>
      <c r="B7" s="387" t="s">
        <v>3597</v>
      </c>
      <c r="C7" s="387">
        <v>24</v>
      </c>
      <c r="D7" s="388" t="s">
        <v>3598</v>
      </c>
      <c r="E7" s="388" t="s">
        <v>3590</v>
      </c>
      <c r="F7" s="389" t="s">
        <v>3599</v>
      </c>
      <c r="G7" s="24" t="s">
        <v>3583</v>
      </c>
      <c r="M7" s="24"/>
    </row>
    <row r="8" spans="1:13" x14ac:dyDescent="0.4">
      <c r="A8" s="387">
        <v>6</v>
      </c>
      <c r="B8" s="387" t="s">
        <v>3600</v>
      </c>
      <c r="C8" s="387">
        <v>25</v>
      </c>
      <c r="D8" s="388" t="s">
        <v>3601</v>
      </c>
      <c r="E8" s="388" t="s">
        <v>3595</v>
      </c>
      <c r="F8" s="389" t="s">
        <v>3602</v>
      </c>
      <c r="G8" s="24" t="s">
        <v>3583</v>
      </c>
      <c r="M8" s="24"/>
    </row>
    <row r="9" spans="1:13" x14ac:dyDescent="0.4">
      <c r="A9" s="387">
        <v>7</v>
      </c>
      <c r="B9" s="387" t="s">
        <v>3603</v>
      </c>
      <c r="C9" s="390">
        <v>26</v>
      </c>
      <c r="D9" s="388" t="s">
        <v>3604</v>
      </c>
      <c r="E9" s="388" t="s">
        <v>3586</v>
      </c>
      <c r="F9" s="389" t="s">
        <v>3605</v>
      </c>
      <c r="G9" s="24" t="s">
        <v>3583</v>
      </c>
      <c r="H9" s="24" t="s">
        <v>3606</v>
      </c>
      <c r="I9" s="24" t="s">
        <v>3607</v>
      </c>
      <c r="M9" s="24"/>
    </row>
    <row r="10" spans="1:13" x14ac:dyDescent="0.4">
      <c r="A10" s="387">
        <v>8</v>
      </c>
      <c r="B10" s="387" t="s">
        <v>3608</v>
      </c>
      <c r="C10" s="387">
        <v>27</v>
      </c>
      <c r="D10" s="388" t="s">
        <v>3609</v>
      </c>
      <c r="E10" s="388" t="s">
        <v>3610</v>
      </c>
      <c r="F10" s="389" t="s">
        <v>3611</v>
      </c>
      <c r="G10" s="24" t="s">
        <v>3583</v>
      </c>
      <c r="H10" s="24" t="s">
        <v>3606</v>
      </c>
      <c r="I10" s="24" t="s">
        <v>3607</v>
      </c>
      <c r="M10" s="24"/>
    </row>
    <row r="11" spans="1:13" x14ac:dyDescent="0.4">
      <c r="A11" s="33">
        <v>9</v>
      </c>
      <c r="B11" s="33" t="s">
        <v>3612</v>
      </c>
      <c r="C11" s="387">
        <v>28</v>
      </c>
      <c r="D11" s="388" t="s">
        <v>3613</v>
      </c>
      <c r="E11" s="388" t="s">
        <v>3581</v>
      </c>
      <c r="F11" s="389" t="s">
        <v>3614</v>
      </c>
      <c r="G11" s="24" t="s">
        <v>3583</v>
      </c>
      <c r="H11" s="24" t="s">
        <v>3606</v>
      </c>
      <c r="I11" s="24" t="s">
        <v>3607</v>
      </c>
      <c r="M11" s="24"/>
    </row>
    <row r="12" spans="1:13" x14ac:dyDescent="0.4">
      <c r="A12" s="33">
        <v>10</v>
      </c>
      <c r="B12" s="33" t="s">
        <v>3615</v>
      </c>
      <c r="C12" s="387">
        <v>29</v>
      </c>
      <c r="D12" s="388" t="s">
        <v>3616</v>
      </c>
      <c r="E12" s="388" t="s">
        <v>3617</v>
      </c>
      <c r="F12" s="389" t="s">
        <v>3618</v>
      </c>
      <c r="G12" s="24" t="s">
        <v>3583</v>
      </c>
      <c r="H12" s="24" t="s">
        <v>3606</v>
      </c>
      <c r="I12" s="24" t="s">
        <v>3607</v>
      </c>
      <c r="J12" s="24" t="s">
        <v>3619</v>
      </c>
      <c r="M12" s="24"/>
    </row>
    <row r="13" spans="1:13" x14ac:dyDescent="0.4">
      <c r="A13" s="387">
        <v>11</v>
      </c>
      <c r="B13" s="387" t="s">
        <v>3620</v>
      </c>
      <c r="C13" s="387">
        <v>30</v>
      </c>
      <c r="D13" s="388" t="s">
        <v>3621</v>
      </c>
      <c r="E13" s="388" t="s">
        <v>3590</v>
      </c>
      <c r="F13" s="389" t="s">
        <v>3622</v>
      </c>
      <c r="G13" s="24" t="s">
        <v>3583</v>
      </c>
      <c r="H13" s="24" t="s">
        <v>3606</v>
      </c>
      <c r="I13" s="24" t="s">
        <v>3607</v>
      </c>
      <c r="J13" s="24" t="s">
        <v>3619</v>
      </c>
      <c r="M13" s="24"/>
    </row>
    <row r="14" spans="1:13" x14ac:dyDescent="0.4">
      <c r="A14" s="387">
        <v>12</v>
      </c>
      <c r="B14" s="387" t="s">
        <v>3623</v>
      </c>
      <c r="C14" s="390">
        <v>31</v>
      </c>
      <c r="D14" s="388" t="s">
        <v>3624</v>
      </c>
      <c r="E14" s="388" t="s">
        <v>3625</v>
      </c>
      <c r="F14" s="389" t="s">
        <v>3626</v>
      </c>
      <c r="G14" s="24" t="s">
        <v>3583</v>
      </c>
      <c r="H14" s="24" t="s">
        <v>3606</v>
      </c>
      <c r="I14" s="24" t="s">
        <v>3607</v>
      </c>
      <c r="J14" s="24" t="s">
        <v>3619</v>
      </c>
      <c r="K14" s="24" t="s">
        <v>3627</v>
      </c>
      <c r="M14" s="24"/>
    </row>
    <row r="15" spans="1:13" x14ac:dyDescent="0.4">
      <c r="A15" s="387">
        <v>13</v>
      </c>
      <c r="B15" s="387" t="s">
        <v>3628</v>
      </c>
      <c r="C15" s="387">
        <v>32</v>
      </c>
      <c r="D15" s="388" t="s">
        <v>3629</v>
      </c>
      <c r="E15" s="388" t="s">
        <v>3610</v>
      </c>
      <c r="F15" s="389" t="s">
        <v>3630</v>
      </c>
      <c r="G15" s="24" t="s">
        <v>3583</v>
      </c>
      <c r="H15" s="24" t="s">
        <v>3606</v>
      </c>
      <c r="I15" s="24" t="s">
        <v>3607</v>
      </c>
      <c r="J15" s="24" t="s">
        <v>3619</v>
      </c>
      <c r="K15" s="24" t="s">
        <v>3627</v>
      </c>
      <c r="M15" s="24"/>
    </row>
    <row r="16" spans="1:13" x14ac:dyDescent="0.4">
      <c r="A16" s="387">
        <v>14</v>
      </c>
      <c r="B16" s="387" t="s">
        <v>3631</v>
      </c>
      <c r="C16" s="390">
        <v>33</v>
      </c>
      <c r="D16" s="388" t="s">
        <v>3632</v>
      </c>
      <c r="E16" s="388" t="s">
        <v>3625</v>
      </c>
      <c r="F16" s="389" t="s">
        <v>3633</v>
      </c>
      <c r="G16" s="24" t="s">
        <v>3583</v>
      </c>
      <c r="H16" s="24" t="s">
        <v>3606</v>
      </c>
      <c r="I16" s="24" t="s">
        <v>3607</v>
      </c>
      <c r="J16" s="24" t="s">
        <v>3619</v>
      </c>
      <c r="K16" s="24" t="s">
        <v>3627</v>
      </c>
      <c r="L16" s="24" t="s">
        <v>3577</v>
      </c>
      <c r="M16" s="24"/>
    </row>
    <row r="17" spans="1:13" x14ac:dyDescent="0.4">
      <c r="A17" s="33">
        <v>15</v>
      </c>
      <c r="B17" s="33" t="s">
        <v>3634</v>
      </c>
      <c r="C17" s="390">
        <v>34</v>
      </c>
      <c r="D17" s="388" t="s">
        <v>3635</v>
      </c>
      <c r="E17" s="388" t="s">
        <v>3625</v>
      </c>
      <c r="F17" s="389" t="s">
        <v>3636</v>
      </c>
      <c r="K17" s="24" t="s">
        <v>3627</v>
      </c>
      <c r="L17" s="24" t="s">
        <v>3577</v>
      </c>
      <c r="M17" s="24"/>
    </row>
    <row r="18" spans="1:13" x14ac:dyDescent="0.4">
      <c r="A18" s="33">
        <v>16</v>
      </c>
      <c r="B18" s="391" t="s">
        <v>3637</v>
      </c>
      <c r="C18" s="387">
        <v>35</v>
      </c>
      <c r="D18" s="388" t="s">
        <v>3638</v>
      </c>
      <c r="E18" s="388" t="s">
        <v>3625</v>
      </c>
      <c r="F18" s="389" t="s">
        <v>3639</v>
      </c>
      <c r="K18" s="24" t="s">
        <v>3627</v>
      </c>
      <c r="L18" s="24" t="s">
        <v>3577</v>
      </c>
      <c r="M18" s="24"/>
    </row>
    <row r="19" spans="1:13" x14ac:dyDescent="0.4">
      <c r="A19" s="387">
        <v>17</v>
      </c>
      <c r="B19" s="387" t="s">
        <v>3640</v>
      </c>
      <c r="C19" s="387">
        <v>36</v>
      </c>
      <c r="D19" s="388" t="s">
        <v>3641</v>
      </c>
      <c r="E19" s="388" t="s">
        <v>3581</v>
      </c>
      <c r="F19" s="389" t="s">
        <v>3642</v>
      </c>
      <c r="K19" s="24" t="s">
        <v>3627</v>
      </c>
      <c r="L19" s="24" t="s">
        <v>3577</v>
      </c>
      <c r="M19" s="24"/>
    </row>
    <row r="20" spans="1:13" x14ac:dyDescent="0.4">
      <c r="A20" s="387">
        <v>18</v>
      </c>
      <c r="B20" s="387" t="s">
        <v>3643</v>
      </c>
      <c r="C20" s="387">
        <v>37</v>
      </c>
      <c r="D20" s="388" t="s">
        <v>3644</v>
      </c>
      <c r="E20" s="388" t="s">
        <v>3617</v>
      </c>
      <c r="F20" s="389" t="s">
        <v>3645</v>
      </c>
      <c r="K20" s="24" t="s">
        <v>3627</v>
      </c>
      <c r="M20" s="24" t="s">
        <v>3646</v>
      </c>
    </row>
    <row r="21" spans="1:13" x14ac:dyDescent="0.4">
      <c r="A21" s="33">
        <v>19</v>
      </c>
      <c r="B21" s="33" t="s">
        <v>3647</v>
      </c>
      <c r="C21" s="387">
        <v>38</v>
      </c>
      <c r="D21" s="388" t="s">
        <v>3648</v>
      </c>
      <c r="E21" s="388" t="s">
        <v>3590</v>
      </c>
      <c r="F21" s="389" t="s">
        <v>3649</v>
      </c>
      <c r="K21" s="24" t="s">
        <v>3627</v>
      </c>
      <c r="M21" s="24"/>
    </row>
    <row r="22" spans="1:13" x14ac:dyDescent="0.4">
      <c r="A22" s="387">
        <v>20</v>
      </c>
      <c r="B22" s="387" t="s">
        <v>3650</v>
      </c>
      <c r="C22" s="387">
        <v>39</v>
      </c>
      <c r="D22" s="388" t="s">
        <v>3651</v>
      </c>
      <c r="E22" s="388" t="s">
        <v>3595</v>
      </c>
      <c r="F22" s="389" t="s">
        <v>3652</v>
      </c>
      <c r="H22" s="24" t="s">
        <v>3606</v>
      </c>
      <c r="I22" s="24" t="s">
        <v>3607</v>
      </c>
      <c r="M22" s="24"/>
    </row>
    <row r="23" spans="1:13" x14ac:dyDescent="0.4">
      <c r="A23" s="33">
        <v>21</v>
      </c>
      <c r="B23" s="33" t="s">
        <v>3653</v>
      </c>
      <c r="C23" s="387">
        <v>40</v>
      </c>
      <c r="D23" s="388" t="s">
        <v>3654</v>
      </c>
      <c r="E23" s="388" t="s">
        <v>3586</v>
      </c>
      <c r="F23" s="389" t="s">
        <v>3655</v>
      </c>
      <c r="J23" s="24" t="s">
        <v>3619</v>
      </c>
      <c r="L23" s="24" t="s">
        <v>3577</v>
      </c>
      <c r="M23" s="24"/>
    </row>
    <row r="24" spans="1:13" x14ac:dyDescent="0.4">
      <c r="A24" s="33">
        <v>22</v>
      </c>
      <c r="B24" s="33" t="s">
        <v>3656</v>
      </c>
      <c r="C24" s="387">
        <v>41</v>
      </c>
      <c r="D24" s="388" t="s">
        <v>3657</v>
      </c>
      <c r="E24" s="388" t="s">
        <v>3610</v>
      </c>
      <c r="F24" s="389" t="s">
        <v>3658</v>
      </c>
      <c r="J24" s="24" t="s">
        <v>3619</v>
      </c>
      <c r="L24" s="24" t="s">
        <v>3577</v>
      </c>
      <c r="M24" s="24"/>
    </row>
    <row r="25" spans="1:13" x14ac:dyDescent="0.4">
      <c r="A25" s="33">
        <v>23</v>
      </c>
      <c r="B25" s="33" t="s">
        <v>3659</v>
      </c>
      <c r="C25" s="387">
        <v>42</v>
      </c>
      <c r="D25" s="388" t="s">
        <v>3660</v>
      </c>
      <c r="E25" s="388" t="s">
        <v>3581</v>
      </c>
      <c r="F25" s="389" t="s">
        <v>3661</v>
      </c>
      <c r="J25" s="24" t="s">
        <v>3619</v>
      </c>
      <c r="L25" s="24" t="s">
        <v>3577</v>
      </c>
      <c r="M25" t="s">
        <v>3662</v>
      </c>
    </row>
    <row r="26" spans="1:13" x14ac:dyDescent="0.4">
      <c r="A26" s="387">
        <v>24</v>
      </c>
      <c r="B26" s="387" t="s">
        <v>3663</v>
      </c>
      <c r="C26" s="387">
        <v>43</v>
      </c>
      <c r="D26" s="388" t="s">
        <v>3664</v>
      </c>
      <c r="E26" s="388" t="s">
        <v>3665</v>
      </c>
      <c r="F26" s="389" t="s">
        <v>3666</v>
      </c>
      <c r="K26" s="24" t="s">
        <v>3627</v>
      </c>
      <c r="L26" s="24" t="s">
        <v>3577</v>
      </c>
      <c r="M26" s="24"/>
    </row>
    <row r="27" spans="1:13" x14ac:dyDescent="0.4">
      <c r="A27" s="33">
        <v>25</v>
      </c>
      <c r="B27" s="391" t="s">
        <v>3667</v>
      </c>
      <c r="C27" s="387">
        <v>44</v>
      </c>
      <c r="D27" s="388" t="s">
        <v>3668</v>
      </c>
      <c r="E27" s="388" t="s">
        <v>3610</v>
      </c>
      <c r="F27" s="389" t="s">
        <v>3669</v>
      </c>
      <c r="K27" s="24" t="s">
        <v>3627</v>
      </c>
      <c r="L27" s="24" t="s">
        <v>3577</v>
      </c>
      <c r="M27" s="24"/>
    </row>
    <row r="28" spans="1:13" x14ac:dyDescent="0.4">
      <c r="A28" s="24">
        <v>26</v>
      </c>
      <c r="D28" s="388" t="s">
        <v>3670</v>
      </c>
      <c r="E28" s="388"/>
      <c r="F28" s="24" t="s">
        <v>3167</v>
      </c>
      <c r="M28" s="24"/>
    </row>
    <row r="29" spans="1:13" x14ac:dyDescent="0.4">
      <c r="A29" s="24">
        <v>27</v>
      </c>
      <c r="D29" s="388" t="s">
        <v>3671</v>
      </c>
      <c r="E29" s="388"/>
      <c r="F29" s="24" t="s">
        <v>231</v>
      </c>
      <c r="M29" s="24"/>
    </row>
    <row r="30" spans="1:13" x14ac:dyDescent="0.4">
      <c r="A30" s="24">
        <v>28</v>
      </c>
      <c r="D30" s="388" t="s">
        <v>3672</v>
      </c>
      <c r="E30" s="388"/>
      <c r="F30" s="24" t="s">
        <v>236</v>
      </c>
      <c r="M30" s="24"/>
    </row>
  </sheetData>
  <hyperlinks>
    <hyperlink ref="F5" r:id="rId1" xr:uid="{CA4D69E4-75CA-422B-BEC1-B2B49EF20283}"/>
    <hyperlink ref="F9" r:id="rId2" xr:uid="{1D89D5E1-11C8-442F-95CD-6E4417451F72}"/>
    <hyperlink ref="F13" r:id="rId3" xr:uid="{BD6DF059-EE03-42F5-BA3E-50262F109B34}"/>
    <hyperlink ref="F18" r:id="rId4" xr:uid="{B02D03D0-6D1B-4CCE-9368-14DB12B96454}"/>
    <hyperlink ref="F19" r:id="rId5" xr:uid="{A433D467-BD54-4348-AF6A-59640E53FE54}"/>
    <hyperlink ref="F23" r:id="rId6" xr:uid="{58917E35-AC19-4A92-B20D-E70E6BB3E12A}"/>
    <hyperlink ref="F26" r:id="rId7" xr:uid="{C9158E1D-CC6B-48A6-B5C2-AA77E06036C8}"/>
    <hyperlink ref="F7" r:id="rId8" xr:uid="{D02D6FBE-33F1-43E0-8FCD-E3AFFE09567E}"/>
    <hyperlink ref="F12" r:id="rId9" xr:uid="{ED82D90D-C0ED-4A97-96AC-93B813ADAA58}"/>
    <hyperlink ref="F14" r:id="rId10" xr:uid="{6CDC364D-3ABC-4AAC-889D-94A2974B9CF4}"/>
    <hyperlink ref="F16" r:id="rId11" xr:uid="{E6BE0059-FA9B-4129-80C5-1B6726E384C6}"/>
    <hyperlink ref="F17" r:id="rId12" xr:uid="{BEDB79EE-4F82-4DB7-84FE-1E006771F5D0}"/>
    <hyperlink ref="F20" r:id="rId13" xr:uid="{589078A6-90B9-41D8-9B57-29536DEB6E0E}"/>
    <hyperlink ref="F11" r:id="rId14" xr:uid="{6B780396-ABDB-40BE-9EDA-2619A4A509F5}"/>
    <hyperlink ref="F25" r:id="rId15" xr:uid="{F87132BE-043C-4817-9784-0684E1E837F0}"/>
    <hyperlink ref="F6" r:id="rId16" xr:uid="{50247C55-47A0-40CD-B817-4B2E096B3FBB}"/>
    <hyperlink ref="F8" r:id="rId17" xr:uid="{CBAFD9FD-8A87-42BF-86CF-49B3C2C5B825}"/>
    <hyperlink ref="F10" r:id="rId18" xr:uid="{7E7F9230-B0C2-494C-A2E1-1270CE5C0F8F}"/>
    <hyperlink ref="F15" r:id="rId19" xr:uid="{2ACEC5E7-3EB1-4F20-B44F-F9708D67AA3D}"/>
    <hyperlink ref="F24" r:id="rId20" xr:uid="{1F51575E-7E70-46C3-B0FB-FD262E010DFF}"/>
    <hyperlink ref="F22" r:id="rId21" xr:uid="{AB87BAB8-4DAC-4203-84C9-C8DD9E256906}"/>
    <hyperlink ref="F4" r:id="rId22" xr:uid="{02FE5ABF-1446-4B57-B4C8-A36034384801}"/>
    <hyperlink ref="F27" r:id="rId23" xr:uid="{7A0547A7-BD06-44FF-9685-8F87FFF9C72A}"/>
    <hyperlink ref="F3" r:id="rId24" xr:uid="{6BE59A2E-2F8B-4F77-B274-AE722C12F860}"/>
    <hyperlink ref="F21" r:id="rId25" xr:uid="{D66C1340-621E-4463-B3F2-3E9821CC15E2}"/>
  </hyperlinks>
  <pageMargins left="0.7" right="0.7" top="0.75" bottom="0.75" header="0.3" footer="0.3"/>
  <tableParts count="1">
    <tablePart r:id="rId2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Anexos</vt:lpstr>
      <vt:lpstr>Dotación</vt:lpstr>
      <vt:lpstr>Jurisdicción</vt:lpstr>
      <vt:lpstr>correos tribunales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Olave Soto</dc:creator>
  <cp:lastModifiedBy>Juan Carlos Olave Soto</cp:lastModifiedBy>
  <dcterms:created xsi:type="dcterms:W3CDTF">2026-07-11T18:39:57Z</dcterms:created>
  <dcterms:modified xsi:type="dcterms:W3CDTF">2026-07-11T18:48:44Z</dcterms:modified>
</cp:coreProperties>
</file>